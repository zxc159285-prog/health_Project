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발 일정표" sheetId="1" r:id="rId4"/>
    <sheet state="visible" name="담당자별 요약" sheetId="2" r:id="rId5"/>
  </sheets>
  <definedNames/>
  <calcPr/>
  <extLst>
    <ext uri="GoogleSheetsCustomDataVersion2">
      <go:sheetsCustomData xmlns:go="http://customooxmlschemas.google.com/" r:id="rId6" roundtripDataChecksum="VjE6Sl0ENPjJj0iMgG7yxJ2VgiijRausoxax1Q81jM0="/>
    </ext>
  </extLst>
</workbook>
</file>

<file path=xl/sharedStrings.xml><?xml version="1.0" encoding="utf-8"?>
<sst xmlns="http://schemas.openxmlformats.org/spreadsheetml/2006/main" count="555" uniqueCount="315">
  <si>
    <t>담당자별 작업 요약</t>
  </si>
  <si>
    <t>팀 프로젝트 개발 일정표</t>
  </si>
  <si>
    <t>담당자</t>
  </si>
  <si>
    <t>git 계정</t>
  </si>
  <si>
    <t>전체</t>
  </si>
  <si>
    <t>전체 작업</t>
  </si>
  <si>
    <t>완료</t>
  </si>
  <si>
    <t>진행 중</t>
  </si>
  <si>
    <t>대기</t>
  </si>
  <si>
    <t>완료율</t>
  </si>
  <si>
    <t>완료된 작업</t>
  </si>
  <si>
    <t>진행률</t>
  </si>
  <si>
    <t>송태현</t>
  </si>
  <si>
    <t>조종현</t>
  </si>
  <si>
    <t>구영주</t>
  </si>
  <si>
    <t>Taehyun-0502</t>
  </si>
  <si>
    <t>김현서</t>
  </si>
  <si>
    <t>Jonghyun / zxc159285-prog</t>
  </si>
  <si>
    <t>분류</t>
  </si>
  <si>
    <t>항목</t>
  </si>
  <si>
    <t>기능</t>
  </si>
  <si>
    <t>상세기능</t>
  </si>
  <si>
    <t>시작일</t>
  </si>
  <si>
    <t>종료일</t>
  </si>
  <si>
    <t>상태</t>
  </si>
  <si>
    <t>비고</t>
  </si>
  <si>
    <t>greyth93-ship-it</t>
  </si>
  <si>
    <t>6/29</t>
  </si>
  <si>
    <t>6/30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</si>
  <si>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</si>
  <si>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</si>
  <si>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</si>
  <si>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</si>
  <si>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</si>
  <si>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</si>
  <si>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</si>
  <si>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</si>
  <si>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</si>
  <si>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</si>
  <si>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</si>
  <si>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7/12</t>
  </si>
  <si>
    <t>7/13</t>
  </si>
  <si>
    <t>7/14</t>
  </si>
  <si>
    <t>7/15</t>
  </si>
  <si>
    <t>7/16</t>
  </si>
  <si>
    <t>7/17</t>
  </si>
  <si>
    <t>7/18</t>
  </si>
  <si>
    <t>7/19</t>
  </si>
  <si>
    <t>7/20</t>
  </si>
  <si>
    <t>7/21</t>
  </si>
  <si>
    <t>hyunseo0504 (HS)</t>
  </si>
  <si>
    <t>7/22</t>
  </si>
  <si>
    <t>7/23</t>
  </si>
  <si>
    <t>7/24</t>
  </si>
  <si>
    <t>7/25</t>
  </si>
  <si>
    <t>7/26</t>
  </si>
  <si>
    <t>7/27</t>
  </si>
  <si>
    <t>7/28</t>
  </si>
  <si>
    <t>7/29</t>
  </si>
  <si>
    <t>7/30</t>
  </si>
  <si>
    <t>7/31</t>
  </si>
  <si>
    <t>8/1</t>
  </si>
  <si>
    <t>8/2</t>
  </si>
  <si>
    <t>8/3</t>
  </si>
  <si>
    <t>8/4</t>
  </si>
  <si>
    <t>8/5</t>
  </si>
  <si>
    <t>공통/인프라</t>
  </si>
  <si>
    <t>프로젝트 초기 구성</t>
  </si>
  <si>
    <t>리포지토리 및 기본 골격</t>
  </si>
  <si>
    <t>Spring Boot(MyBatis) + React(Vite) 초기 프로젝트 구성</t>
  </si>
  <si>
    <t>합계</t>
  </si>
  <si>
    <t>※ 일정·담당자는 health_Project git 커밋 이력(2026-06-29 ~ 2026-07-28) 기준으로 산출했습니다. '대기' 항목은 CLAUDE.md 구현 현황의 미구현 항목이며 종료일은 예상치입니다.</t>
  </si>
  <si>
    <t>계정 관리</t>
  </si>
  <si>
    <t>회원가입/로그인</t>
  </si>
  <si>
    <t>로그인 화면 및 인증</t>
  </si>
  <si>
    <t>로그인 폼 제작 및 로그인 API 연동</t>
  </si>
  <si>
    <t>기획/QA</t>
  </si>
  <si>
    <t>요구사항 정의</t>
  </si>
  <si>
    <t>요구사항 정리표 작성</t>
  </si>
  <si>
    <t>기능 요구사항 목록·중요도·권한 정리</t>
  </si>
  <si>
    <t>커밋 이력 없음(문서 산출물)</t>
  </si>
  <si>
    <t>access토큰</t>
  </si>
  <si>
    <t>JWT 토큰 발급·저장·검증(JwtUtill)</t>
  </si>
  <si>
    <t>라우팅</t>
  </si>
  <si>
    <t>역할 경로 분리</t>
  </si>
  <si>
    <t>/fitb(B2B)·/fitc(B2C) 라우터 및 레이아웃 분리</t>
  </si>
  <si>
    <t>물품관리</t>
  </si>
  <si>
    <t>입력 폼 제작</t>
  </si>
  <si>
    <t>물품 데이터 입력 기능</t>
  </si>
  <si>
    <t>사장님이 물품의 정보를 기입할 수 있는 폼 제공</t>
  </si>
  <si>
    <t>물품관리 리스트</t>
  </si>
  <si>
    <t>물품관리 탭 요청 시 페이지</t>
  </si>
  <si>
    <t>메인 페이지에서 물품관리 버튼 클릭 시 제공하는 리스트 페이지</t>
  </si>
  <si>
    <t>물품관리 CRUD</t>
  </si>
  <si>
    <t>입력·조회·수정·삭제 기능</t>
  </si>
  <si>
    <t>h_item 테이블 CRUD 기능 및 디테일 정렬</t>
  </si>
  <si>
    <t>B2C메뉴</t>
  </si>
  <si>
    <t>마이페이지</t>
  </si>
  <si>
    <t>B2C·B2B 건의사항</t>
  </si>
  <si>
    <t>마이페이지 내 건의사항탭(전송, 내역, 처리상태)</t>
  </si>
  <si>
    <t>계약 관리</t>
  </si>
  <si>
    <t>계약 도메인 구축</t>
  </si>
  <si>
    <t>계약서 리스트·작성·상세 화면</t>
  </si>
  <si>
    <t>계약서 리스트/작성 폼/상세 뷰어 구현, 유형별 조건부 입력 필드</t>
  </si>
  <si>
    <t>Contractpage·ContractNew·ContractDetail</t>
  </si>
  <si>
    <t>정산관리</t>
  </si>
  <si>
    <t>정산 관리 리스트</t>
  </si>
  <si>
    <t>사장님 지출 입력 기능</t>
  </si>
  <si>
    <t>각 사장님이 사용한 지출내역 입력폼(h_expense)</t>
  </si>
  <si>
    <t>회원 관리</t>
  </si>
  <si>
    <t>모델 입력 데이터</t>
  </si>
  <si>
    <t>h_model_data 생성</t>
  </si>
  <si>
    <t>나이·방문횟수·운동시간·혼잡도 등 예측 피처 적재</t>
  </si>
  <si>
    <t>프로모션</t>
  </si>
  <si>
    <t>이탈율 예측 모델</t>
  </si>
  <si>
    <t>이탈율·이탈이유(불만이유) 예측 모델 생성</t>
  </si>
  <si>
    <t>이탈율이 얼마인지, 가장 큰 영향을 미치는 요소가 무엇인지 도출</t>
  </si>
  <si>
    <t>설문</t>
  </si>
  <si>
    <t>회원 설문(NPS) 수집</t>
  </si>
  <si>
    <t>h_survey 항목별 점수 및 부상 정보 수집</t>
  </si>
  <si>
    <t>이탈 예측 서빙</t>
  </si>
  <si>
    <t>FastAPI·Streamlit 연동</t>
  </si>
  <si>
    <t>healthModel 서비스화 및 Supabase 직접 조회</t>
  </si>
  <si>
    <t>멤버십 조회</t>
  </si>
  <si>
    <t>보유 회원권 종류·이용 기간·잔여일 확인</t>
  </si>
  <si>
    <t>예측 결과 적재</t>
  </si>
  <si>
    <t>h_churn_result 저장</t>
  </si>
  <si>
    <t>이탈확률·top1~3 이탈요인을 일자별 이력으로 누적</t>
  </si>
  <si>
    <t>자동 회원가입</t>
  </si>
  <si>
    <t>미가입 수신자 자동가입</t>
  </si>
  <si>
    <t>계약 서명 시 autoJoin 호출(서명 트랜잭션 내 처리)</t>
  </si>
  <si>
    <t>출석관리</t>
  </si>
  <si>
    <t>출석 체크</t>
  </si>
  <si>
    <t>체크인 기록 저장</t>
  </si>
  <si>
    <t>헬스장 방문 시 h_check_inout 기록(이탈 예측 기초 데이터)</t>
  </si>
  <si>
    <t>커미션</t>
  </si>
  <si>
    <t>관계사 커미션 집계</t>
  </si>
  <si>
    <t>월별 커미션 생성·조회(h_settlement)</t>
  </si>
  <si>
    <t>데이터 모델 정비</t>
  </si>
  <si>
    <t>생년월일·하루 평균 운동시간(시/분 분리) 필드 추가, 날짜 타입 String→LocalDate 전환, 패키지 user→contract 정리</t>
  </si>
  <si>
    <t>백엔드 4계층(Controller/Service/Mapper/XML)</t>
  </si>
  <si>
    <t>리스트 부가기능</t>
  </si>
  <si>
    <t>페이징·정렬·CSV 내보내기</t>
  </si>
  <si>
    <t>페이저 클래스 적용, 정렬 옵션, 물품 리스트 CSV export</t>
  </si>
  <si>
    <t>알림</t>
  </si>
  <si>
    <t>알림 라인·헤더 알림</t>
  </si>
  <si>
    <t>h_alarm 목록 조회 및 읽음 처리</t>
  </si>
  <si>
    <t>서명 완료 시 자동 회원가입 호출, 서명-가입 단일 트랜잭션(실패 시 함께 롤백)</t>
  </si>
  <si>
    <t>@Transactional 체인</t>
  </si>
  <si>
    <t>대시보드</t>
  </si>
  <si>
    <t>도메인 구축</t>
  </si>
  <si>
    <t>위젯 시스템 신설</t>
  </si>
  <si>
    <t>대시보드 4계층 신설, 테넌트 격리(role 정규화), 위젯 활성화 정책(데이터 有 기본 켜짐·소실 시 잠금), 차트 쿼리 안정화</t>
  </si>
  <si>
    <t>사용자별 위젯 설정 저장</t>
  </si>
  <si>
    <t>쿠폰/프로모션</t>
  </si>
  <si>
    <t>쿠폰 관리</t>
  </si>
  <si>
    <t>쿠폰 종류 등록·발급</t>
  </si>
  <si>
    <t>h_coupon_type 정의 및 h_coupon 발급, 중복 발급 방지</t>
  </si>
  <si>
    <t>이탈 분석 화면</t>
  </si>
  <si>
    <t>B2B 이탈 분석 리스트</t>
  </si>
  <si>
    <t>이탈 위험 회원 리스트·상세(B2B 마이페이지)</t>
  </si>
  <si>
    <t>도메인 이벤트 알림 발송</t>
  </si>
  <si>
    <t>물품·정산·결제 이벤트 알림 발송 연동</t>
  </si>
  <si>
    <t>검증용 시드 데이터 구축</t>
  </si>
  <si>
    <t>발행 API로 계약 75건 적재, 상태·날짜 정합화, 출석 358건·설문 49건 생성, 정합성 검증 쿼리 4종</t>
  </si>
  <si>
    <t>대시보드·이탈모델 검증용</t>
  </si>
  <si>
    <t>집계·라우트 보강</t>
  </si>
  <si>
    <t>Service·Mapper 집계 로직 보강, 대시보드 라우트 추가, 시드 데이터로 위젯 검증</t>
  </si>
  <si>
    <t>결제 관리</t>
  </si>
  <si>
    <t>결제 페이지</t>
  </si>
  <si>
    <t>계약 결제 처리</t>
  </si>
  <si>
    <t>계약 서명 후 결제(h_pay/h_payment), 할부·쿠폰 적용</t>
  </si>
  <si>
    <t>발행→서명→결제 동선</t>
  </si>
  <si>
    <t>회원 계약서 발행·서명 흐름 보완, 결제 라우트 연결</t>
  </si>
  <si>
    <t>쿠폰 상태 스케줄링</t>
  </si>
  <si>
    <t>미사용/사용완료/유효기간만료 상태 자동 갱신</t>
  </si>
  <si>
    <t>매출</t>
  </si>
  <si>
    <t>결제 기반 매출 집계</t>
  </si>
  <si>
    <t>매출·지출·순이익 집계 및 정산 페이지 반영</t>
  </si>
  <si>
    <t>AI 비서</t>
  </si>
  <si>
    <t>Phase 0~1 구축</t>
  </si>
  <si>
    <t>AI 도메인·오케스트레이터</t>
  </si>
  <si>
    <t>AI 패키지 신설(오케스트레이터·도구 화이트리스트·role 게이팅·감사 로그), Anthropic API(Tool Use) 멀티턴 루프, SSE 스트리밍, ERD 3종, 프론트 챗 패널</t>
  </si>
  <si>
    <t>21파일 +1,851줄</t>
  </si>
  <si>
    <t>refresh토큰</t>
  </si>
  <si>
    <t>토큰 발급·저장·검증(h_refresh_token), 로그아웃 시 소거</t>
  </si>
  <si>
    <t>쿠폰 필터 적용</t>
  </si>
  <si>
    <t>결제 시 적용 가능한 쿠폰만 필터링해 노출</t>
  </si>
  <si>
    <t>체험권</t>
  </si>
  <si>
    <t>이탈 대상 체험권 발급 연계</t>
  </si>
  <si>
    <t>churn_status 기반 체험권 대상 선정 및 발급</t>
  </si>
  <si>
    <t>출석 키오스크</t>
  </si>
  <si>
    <t>출석 체크 화면</t>
  </si>
  <si>
    <t>/fitc/attendance 키오스크 화면 및 출석 저장</t>
  </si>
  <si>
    <t>패스워드 암호화</t>
  </si>
  <si>
    <t>PasswordEncoder 적용 및 계정정보 수정 반영</t>
  </si>
  <si>
    <t>회원/직원 관리</t>
  </si>
  <si>
    <t>권한별 유저 페이지</t>
  </si>
  <si>
    <t>ADMIN/OWNER/TRAINER 유저 관리 화면 구성</t>
  </si>
  <si>
    <t>계약 유형 확장</t>
  </si>
  <si>
    <t>이용권(3)·PT(4) 통합 + PT 체험(5) 신설</t>
  </si>
  <si>
    <t>통합 발행폼, quantity 기반 서버 유형 판정, 체험권 대상 목록 화면, 쿠폰 기반 중복 발행 차단, 임금계약(2) 재작성=UPDATE 규칙, 만료 표현 status 일원화</t>
  </si>
  <si>
    <t>계약 유형 1~5 체계 확정</t>
  </si>
  <si>
    <t>READ 도구 9종 바인딩</t>
  </si>
  <si>
    <t>계약·명단·대시보드·매출/지출·건의·이탈예측·설문 조회 도구, JWT 기반 테넌트 정보 강제 주입(LLM 인자 폐기)</t>
  </si>
  <si>
    <t>OWNER READ MVP</t>
  </si>
  <si>
    <t>역할별 개편</t>
  </si>
  <si>
    <t>역할별 기본 위젯 세트</t>
  </si>
  <si>
    <t>ADMIN/OWNER/TRAINER 기본 위젯 세트 차등, 데이터 없음 잠금·자동 해제</t>
  </si>
  <si>
    <t>QA 계획 수립</t>
  </si>
  <si>
    <t>전체 QA 실행 계획서 작성</t>
  </si>
  <si>
    <t>3모듈(프론트·백엔드·모델)+실 DB+브라우저 E2E 범위 확정, 판정 기준(P0~P2)·소스 무수정 원칙·문서 우선순위 정의, 195개 시나리오 체크리스트</t>
  </si>
  <si>
    <t>QA_PLAN.md</t>
  </si>
  <si>
    <t>전체 QA 실행</t>
  </si>
  <si>
    <t>빌드·기동·실 DB 검증</t>
  </si>
  <si>
    <t>프론트 빌드/린트, 백엔드 Gradle 빌드·테스트·서버 기동, FastAPI 기동, 실 DB read-only 정합성 조회, 승인 하에 임시 데이터 CRUD 검증 후 전량 정리(잔존 0건)</t>
  </si>
  <si>
    <t>보안·권한·테넌트 격리 검증</t>
  </si>
  <si>
    <t>무인증 조회(모델 입력·설문·이탈 결과), 역할 우회 호출, 타 지점 데이터 접근, 프론트 라우트 가드 부재 등 P0 2건 포함 이슈 도출</t>
  </si>
  <si>
    <t>운영 배포 부적합 판정 근거</t>
  </si>
  <si>
    <t>브라우저 E2E (4역할)</t>
  </si>
  <si>
    <t>ADMIN·OWNER·TRAINER·MEMBER 실제 로그인·주요 화면·반응형·콘솔 검증, 계약·결제·지출·PT 화면 데이터 반영 확인</t>
  </si>
  <si>
    <t>Phase 1.5</t>
  </si>
  <si>
    <t>프리뷰 게이트</t>
  </si>
  <si>
    <t>ADMIN·TRAINER UI 노출 + 서버 게이트 차단(LLM 미호출·크레딧 소모 0), 크레딧 소진 고정 문구·ADMIN 알림, API 키 .env 주입 전환</t>
  </si>
  <si>
    <t>공통/UI</t>
  </si>
  <si>
    <t>UI 리뉴얼 착수</t>
  </si>
  <si>
    <t>토큰·셸 기획</t>
  </si>
  <si>
    <t>디자인 가이드·토큰 기획 문서 정비, LNB·공통 내비 설정 골격, 물품 화면 슬림화</t>
  </si>
  <si>
    <t>모델 QA 재실행</t>
  </si>
  <si>
    <t>이탈 모델 검증·보고서 갱신</t>
  </si>
  <si>
    <t>Miniconda 환경 재구축, FastAPI 배치→DB→Spring 통계→OWNER 화면 연동 일치 확인, 추론 품질(등급·분포·재현성) 검증, 191/195 시나리오 완료·권장 우선순위 10건 보고</t>
  </si>
  <si>
    <t>QA_REPORT.md</t>
  </si>
  <si>
    <t>이탈 위젯</t>
  </si>
  <si>
    <t>지점 이탈율 위젯</t>
  </si>
  <si>
    <t>gymChurn 등 이탈 집계 위젯 추가</t>
  </si>
  <si>
    <t>B2C 페이지</t>
  </si>
  <si>
    <t>모바일 UI 정리</t>
  </si>
  <si>
    <t>B2C 마이페이지 화면 정리 및 탭 구성</t>
  </si>
  <si>
    <t>챗 UI 개편</t>
  </si>
  <si>
    <t>드로어 AI 탭 + 플로팅 입력바</t>
  </si>
  <si>
    <t>팝업 폐기, 우측 통합 드로어 AI 탭 + 하단 플로팅 입력바(480px) 분리, 포커스 시 탭 열기</t>
  </si>
  <si>
    <t>디자인 시스템 v1</t>
  </si>
  <si>
    <t>공통 셸·컴포넌트 신설</t>
  </si>
  <si>
    <t>차콜 블랙+액션 오렌지 토큰, 좌측 LNB 셸·우측 통합 드로어·B2C 하단 탭바·공용 아이콘, 정산 요약 레일·위젯 칩, 인라인 색상 토큰화</t>
  </si>
  <si>
    <t>49파일 +4,234줄</t>
  </si>
  <si>
    <t>PT 관리</t>
  </si>
  <si>
    <t>PT 잔여횟수 차감 원장</t>
  </si>
  <si>
    <t>h_pt_manage 사용횟수 기록 및 잔여횟수 파생</t>
  </si>
  <si>
    <t>리스트 개편</t>
  </si>
  <si>
    <t>서버 페이징·검색</t>
  </si>
  <si>
    <t>서버 페이징 전환(10건 단위), 이름 칼럼 상대방 방향 수정, 역할별 탭(TRAINER 급여 탭), 트레이너 구하기 버튼</t>
  </si>
  <si>
    <t>유형 필터·keyword 검색 조합</t>
  </si>
  <si>
    <t>OWNER 위젯 7종 개편</t>
  </si>
  <si>
    <t>총 회원 수·월 매출/지출·쿠폰 사용·만료 임박·오늘 출석·이탈 위험·이탈 추이, 위젯 클릭 이동 연결</t>
  </si>
  <si>
    <t>신규 집계 API·테넌트 격리 강제</t>
  </si>
  <si>
    <t>UX 개선</t>
  </si>
  <si>
    <t>진행 문구·차트 카드</t>
  </si>
  <si>
    <t>단계별 진행 문구, 회원 이름 볼드 렌더, 세션 만료(토큰 기준), 차트 카드 템플릿(bar/list/gauge), 시스템 프롬프트 개정</t>
  </si>
  <si>
    <t>리포트</t>
  </si>
  <si>
    <t>리포트 페이지·드로어</t>
  </si>
  <si>
    <t>이탈 리포트 화면 및 드로어 연동</t>
  </si>
  <si>
    <t>PT 스케줄</t>
  </si>
  <si>
    <t>수업 예약·트레이너 확인</t>
  </si>
  <si>
    <t>h_pt_schedule 등록 및 트레이너 확인 시 차감</t>
  </si>
  <si>
    <t>위젯 커스텀</t>
  </si>
  <si>
    <t>편집 모달·삭제형 칩</t>
  </si>
  <si>
    <t>위젯 편집 인라인 패널→모달 전환, 삭제형 칩 툴바, AI 영역(질문 카드+태스크 브리핑) 정합</t>
  </si>
  <si>
    <t>토큰 수렴</t>
  </si>
  <si>
    <t>하드코딩 색상 제거</t>
  </si>
  <si>
    <t>인라인 hex 81종/416회 → 0건 토큰 치환, 그레이 10단 재편, 시맨틱 토큰 신설</t>
  </si>
  <si>
    <t>모델 고도화</t>
  </si>
  <si>
    <t>모델 재학습·보정</t>
  </si>
  <si>
    <t>최종 예측 모델 반영</t>
  </si>
  <si>
    <t>모델 분리(설문 수집용/비수집용)</t>
  </si>
  <si>
    <t>쿼리 정리</t>
  </si>
  <si>
    <t>매퍼 최종 정리</t>
  </si>
  <si>
    <t>정산·결제·출석 매퍼 쿼리 정리 및 검증</t>
  </si>
  <si>
    <t>상세 화면 정리</t>
  </si>
  <si>
    <t>상태 UI 제거·이력 재배치</t>
  </si>
  <si>
    <t>상태 흐름 칩 UI 제거, 갱신·연계 이력 테이블 최하단 이동, 리스트 정렬 기준 단일화</t>
  </si>
  <si>
    <t>디자인 V1.0</t>
  </si>
  <si>
    <t>전 화면 리스킨</t>
  </si>
  <si>
    <t>계약·정산·물품·대시보드·리포트·마이페이지·출석·AI 전 화면 리스킨, 페이지 헤더 통일 컴포넌트, 라운드·간격 스케일 확정, 컴포넌트별 CSS 분리</t>
  </si>
  <si>
    <t>66파일 +5,962줄</t>
  </si>
  <si>
    <t>금액 단위 전환</t>
  </si>
  <si>
    <t>amount 만원→원 단위</t>
  </si>
  <si>
    <t>기존 1,288행 ×10,000 마이그레이션(원 단위 기입 4건 제외), 표시 천 단위 구분자</t>
  </si>
  <si>
    <t>결제 화면과 단위 정합</t>
  </si>
  <si>
    <t>위젯 UX 마감</t>
  </si>
  <si>
    <t>순서 변경 ▲▼ 버튼→드래그 핸들 전환(방향키 대체 경로 포함), 월별 매출·지출 카드 통합(묶음 막대·편집 모달 행 통합), KPI 카드 높이 통일</t>
  </si>
  <si>
    <t>PR #54</t>
  </si>
  <si>
    <t>UI 최종 반영</t>
  </si>
  <si>
    <t>규격 통일·마감</t>
  </si>
  <si>
    <t>타이포 스케일 11종 개편(573건), 칩·페이지네이션 액센트 전환, 리스트 빈 상태·10행 고정 규격, 테이블 보더·배지 통일, 보더 굵기 토큰화, 정산 월 선택기·Button 공통 CSS</t>
  </si>
  <si>
    <t>PR #53·#54, 82파일</t>
  </si>
  <si>
    <t>계약서</t>
  </si>
  <si>
    <t>물리적 서명 데이터 저장</t>
  </si>
  <si>
    <t>서명 이미지(S3 URL 또는 SVG) 백엔드 저장</t>
  </si>
  <si>
    <t>미구현</t>
  </si>
  <si>
    <t>Phase 2 WRITE 도구·확인 카드</t>
  </si>
  <si>
    <t>결제·쿠폰발송·계약발행/서명 확인 카드 흐름(/ai/confirm)</t>
  </si>
  <si>
    <t>다크모드</t>
  </si>
  <si>
    <t>테마 토글</t>
  </si>
  <si>
    <t>전 화면 토큰 수렴 후 다크모드 활성화</t>
  </si>
  <si>
    <t>구인구직</t>
  </si>
  <si>
    <t>트레이너 매칭</t>
  </si>
  <si>
    <t>트레이너 구하기 요청</t>
  </si>
  <si>
    <t>OWNER 요청 및 ADMIN 소개 상태 저장 테이블</t>
  </si>
  <si>
    <t>이탈방지</t>
  </si>
  <si>
    <t>이탈 방지 시스템</t>
  </si>
  <si>
    <t>교육 프로그램 제공 요청</t>
  </si>
  <si>
    <t>직원불만_불친절 이탈 방지 시스템 제공</t>
  </si>
  <si>
    <t>모델 재학습 프로그램</t>
  </si>
  <si>
    <t>모델 재학습 후 업데이트</t>
  </si>
  <si>
    <t>이탈율 예측 모델 업데이트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</si>
</sst>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yyyy\-mm\-dd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1F3864"/>
      <name val="Noto Sans"/>
    </font>
    <font>
      <b/>
      <sz val="20.0"/>
      <color rgb="FF1F3864"/>
      <name val="Noto Sans"/>
    </font>
    <font>
      <b/>
      <sz val="11.0"/>
      <color rgb="FFFFFFFF"/>
      <name val="Noto Sans"/>
    </font>
    <font>
      <b/>
      <sz val="11.0"/>
      <color rgb="FFFFFFFF"/>
      <name val="Arial"/>
    </font>
    <font>
      <b/>
      <sz val="10.0"/>
      <color rgb="FF444444"/>
      <name val="Noto Sans"/>
    </font>
    <font>
      <b/>
      <sz val="10.0"/>
      <color theme="1"/>
      <name val="Noto Sans"/>
    </font>
    <font>
      <sz val="10.0"/>
      <color theme="1"/>
      <name val="Noto Sans"/>
    </font>
    <font>
      <sz val="10.0"/>
      <color theme="1"/>
      <name val="Arial"/>
    </font>
    <font>
      <b/>
      <sz val="18.0"/>
      <color rgb="FF1F3864"/>
      <name val="Arial"/>
    </font>
    <font>
      <b/>
      <sz val="8.0"/>
      <color rgb="FFFFFFFF"/>
      <name val="Arial"/>
    </font>
    <font>
      <b/>
      <sz val="10.0"/>
      <color theme="1"/>
      <name val="Arial"/>
    </font>
    <font>
      <i/>
      <sz val="9.0"/>
      <color rgb="FF808080"/>
      <name val="Noto Sans"/>
    </font>
  </fonts>
  <fills count="16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EFEFEF"/>
        <bgColor rgb="FFEFEFEF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E8A33D"/>
        <bgColor rgb="FFE8A33D"/>
      </patternFill>
    </fill>
    <fill>
      <patternFill patternType="solid">
        <fgColor rgb="FFCC4B4B"/>
        <bgColor rgb="FFCC4B4B"/>
      </patternFill>
    </fill>
    <fill>
      <patternFill patternType="solid">
        <fgColor rgb="FF7F8FA6"/>
        <bgColor rgb="FF7F8FA6"/>
      </patternFill>
    </fill>
    <fill>
      <patternFill patternType="solid">
        <fgColor rgb="FFAEB6C2"/>
        <bgColor rgb="FFAEB6C2"/>
      </patternFill>
    </fill>
    <fill>
      <patternFill patternType="solid">
        <fgColor rgb="FFF7F8FA"/>
        <bgColor rgb="FFF7F8FA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5" numFmtId="0" xfId="0" applyAlignment="1" applyBorder="1" applyFont="1">
      <alignment horizontal="center" vertical="bottom"/>
    </xf>
    <xf borderId="2" fillId="3" fontId="6" numFmtId="0" xfId="0" applyAlignment="1" applyBorder="1" applyFill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center" vertical="center"/>
    </xf>
    <xf borderId="1" fillId="4" fontId="8" numFmtId="0" xfId="0" applyAlignment="1" applyBorder="1" applyFont="1">
      <alignment horizontal="center" vertical="bottom"/>
    </xf>
    <xf borderId="1" fillId="6" fontId="7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vertical="bottom"/>
    </xf>
    <xf borderId="1" fillId="7" fontId="7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 vertical="bottom"/>
    </xf>
    <xf borderId="2" fillId="3" fontId="10" numFmtId="0" xfId="0" applyAlignment="1" applyBorder="1" applyFont="1">
      <alignment horizontal="center" vertical="center"/>
    </xf>
    <xf borderId="2" fillId="3" fontId="10" numFmtId="164" xfId="0" applyAlignment="1" applyBorder="1" applyFont="1" applyNumberFormat="1">
      <alignment horizontal="center" vertical="center"/>
    </xf>
    <xf borderId="1" fillId="0" fontId="9" numFmtId="164" xfId="0" applyAlignment="1" applyBorder="1" applyFont="1" applyNumberFormat="1">
      <alignment horizontal="center" vertical="bottom"/>
    </xf>
    <xf borderId="1" fillId="8" fontId="1" numFmtId="0" xfId="0" applyAlignment="1" applyBorder="1" applyFill="1" applyFont="1">
      <alignment vertical="bottom"/>
    </xf>
    <xf borderId="1" fillId="5" fontId="8" numFmtId="0" xfId="0" applyAlignment="1" applyBorder="1" applyFont="1">
      <alignment horizontal="center" vertical="bottom"/>
    </xf>
    <xf borderId="1" fillId="9" fontId="1" numFmtId="0" xfId="0" applyAlignment="1" applyBorder="1" applyFill="1" applyFont="1">
      <alignment vertical="bottom"/>
    </xf>
    <xf borderId="1" fillId="10" fontId="1" numFmtId="0" xfId="0" applyAlignment="1" applyBorder="1" applyFill="1" applyFont="1">
      <alignment vertical="bottom"/>
    </xf>
    <xf borderId="1" fillId="11" fontId="1" numFmtId="0" xfId="0" applyAlignment="1" applyBorder="1" applyFill="1" applyFont="1">
      <alignment vertical="bottom"/>
    </xf>
    <xf borderId="1" fillId="2" fontId="4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vertical="bottom"/>
    </xf>
    <xf borderId="1" fillId="12" fontId="11" numFmtId="0" xfId="0" applyAlignment="1" applyBorder="1" applyFill="1" applyFont="1">
      <alignment horizontal="center" vertical="center"/>
    </xf>
    <xf borderId="1" fillId="13" fontId="11" numFmtId="0" xfId="0" applyAlignment="1" applyBorder="1" applyFill="1" applyFont="1">
      <alignment horizontal="center" vertical="center"/>
    </xf>
    <xf borderId="1" fillId="7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shrinkToFit="0" vertical="center" wrapText="1"/>
    </xf>
    <xf borderId="1" fillId="0" fontId="9" numFmtId="165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vertical="center"/>
    </xf>
    <xf borderId="1" fillId="3" fontId="1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3" fontId="12" numFmtId="164" xfId="0" applyAlignment="1" applyBorder="1" applyFont="1" applyNumberFormat="1">
      <alignment horizontal="center" vertical="bottom"/>
    </xf>
    <xf borderId="0" fillId="0" fontId="13" numFmtId="0" xfId="0" applyAlignment="1" applyFont="1">
      <alignment vertical="bottom"/>
    </xf>
    <xf borderId="1" fillId="14" fontId="8" numFmtId="0" xfId="0" applyAlignment="1" applyBorder="1" applyFill="1" applyFont="1">
      <alignment horizontal="center" vertical="center"/>
    </xf>
    <xf borderId="1" fillId="14" fontId="8" numFmtId="0" xfId="0" applyAlignment="1" applyBorder="1" applyFont="1">
      <alignment horizontal="left" vertical="center"/>
    </xf>
    <xf borderId="1" fillId="14" fontId="8" numFmtId="0" xfId="0" applyAlignment="1" applyBorder="1" applyFont="1">
      <alignment horizontal="left" shrinkToFit="0" vertical="center" wrapText="1"/>
    </xf>
    <xf borderId="1" fillId="14" fontId="9" numFmtId="165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left" shrinkToFit="0" vertical="center" wrapText="1"/>
    </xf>
    <xf borderId="1" fillId="4" fontId="8" numFmtId="0" xfId="0" applyAlignment="1" applyBorder="1" applyFont="1">
      <alignment horizontal="center" vertical="center"/>
    </xf>
    <xf borderId="1" fillId="14" fontId="9" numFmtId="0" xfId="0" applyAlignment="1" applyBorder="1" applyFont="1">
      <alignment horizontal="left" vertical="center"/>
    </xf>
    <xf borderId="1" fillId="14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vertical="center"/>
    </xf>
    <xf borderId="1" fillId="6" fontId="8" numFmtId="0" xfId="0" applyAlignment="1" applyBorder="1" applyFont="1">
      <alignment horizontal="center" vertical="center"/>
    </xf>
    <xf borderId="1" fillId="7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readingOrder="0" vertical="center"/>
    </xf>
    <xf borderId="1" fillId="14" fontId="9" numFmtId="0" xfId="0" applyAlignment="1" applyBorder="1" applyFont="1">
      <alignment horizontal="center" vertical="center"/>
    </xf>
    <xf borderId="1" fillId="14" fontId="8" numFmtId="0" xfId="0" applyAlignment="1" applyBorder="1" applyFont="1">
      <alignment horizontal="left" readingOrder="0" vertical="center"/>
    </xf>
    <xf borderId="1" fillId="15" fontId="8" numFmtId="0" xfId="0" applyAlignment="1" applyBorder="1" applyFill="1" applyFont="1">
      <alignment horizontal="center" vertical="center"/>
    </xf>
    <xf borderId="1" fillId="14" fontId="8" numFmtId="0" xfId="0" applyAlignment="1" applyBorder="1" applyFont="1">
      <alignment horizontal="center" readingOrder="0" vertical="center"/>
    </xf>
    <xf borderId="1" fillId="14" fontId="9" numFmtId="0" xfId="0" applyAlignment="1" applyBorder="1" applyFont="1">
      <alignment horizontal="left" readingOrder="0" shrinkToFit="0" vertical="center" wrapText="1"/>
    </xf>
    <xf borderId="1" fillId="7" fontId="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71"/>
    <col customWidth="1" min="2" max="2" width="12.0"/>
    <col customWidth="1" min="3" max="3" width="18.0"/>
    <col customWidth="1" min="4" max="4" width="24.0"/>
    <col customWidth="1" min="5" max="5" width="46.0"/>
    <col customWidth="1" min="6" max="7" width="13.0"/>
    <col customWidth="1" min="8" max="9" width="11.0"/>
    <col customWidth="1" min="10" max="10" width="24.0"/>
    <col customWidth="1" min="11" max="48" width="3.4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30.0" customHeight="1">
      <c r="A2" s="1"/>
      <c r="B2" s="4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15.0" customHeight="1">
      <c r="A4" s="1"/>
      <c r="B4" s="7" t="s">
        <v>5</v>
      </c>
      <c r="C4" s="7" t="s">
        <v>10</v>
      </c>
      <c r="D4" s="7" t="s">
        <v>11</v>
      </c>
      <c r="E4" s="2"/>
      <c r="F4" s="8" t="s">
        <v>12</v>
      </c>
      <c r="G4" s="9" t="s">
        <v>13</v>
      </c>
      <c r="H4" s="11" t="s">
        <v>14</v>
      </c>
      <c r="I4" s="13" t="s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ht="21.75" customHeight="1">
      <c r="A5" s="1"/>
      <c r="B5" s="15">
        <f>COUNTA(C7:C80)</f>
        <v>74</v>
      </c>
      <c r="C5" s="15">
        <f>COUNTIF(I7:I80,"완료")</f>
        <v>70</v>
      </c>
      <c r="D5" s="16">
        <f>IF(B5=0,0,C5/B5)</f>
        <v>0.9459459459</v>
      </c>
      <c r="E5" s="2"/>
      <c r="F5" s="18"/>
      <c r="G5" s="20"/>
      <c r="H5" s="21"/>
      <c r="I5" s="2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ht="24.0" customHeight="1">
      <c r="A6" s="1"/>
      <c r="B6" s="23" t="s">
        <v>18</v>
      </c>
      <c r="C6" s="23" t="s">
        <v>19</v>
      </c>
      <c r="D6" s="23" t="s">
        <v>20</v>
      </c>
      <c r="E6" s="23" t="s">
        <v>21</v>
      </c>
      <c r="F6" s="23" t="s">
        <v>22</v>
      </c>
      <c r="G6" s="23" t="s">
        <v>23</v>
      </c>
      <c r="H6" s="23" t="s">
        <v>2</v>
      </c>
      <c r="I6" s="23" t="s">
        <v>24</v>
      </c>
      <c r="J6" s="23" t="s">
        <v>25</v>
      </c>
      <c r="K6" s="25" t="s">
        <v>27</v>
      </c>
      <c r="L6" s="25" t="s">
        <v>28</v>
      </c>
      <c r="M6" s="25" t="s">
        <v>29</v>
      </c>
      <c r="N6" s="25" t="s">
        <v>30</v>
      </c>
      <c r="O6" s="25" t="s">
        <v>31</v>
      </c>
      <c r="P6" s="26" t="s">
        <v>32</v>
      </c>
      <c r="Q6" s="26" t="s">
        <v>33</v>
      </c>
      <c r="R6" s="25" t="s">
        <v>34</v>
      </c>
      <c r="S6" s="25" t="s">
        <v>35</v>
      </c>
      <c r="T6" s="25" t="s">
        <v>36</v>
      </c>
      <c r="U6" s="25" t="s">
        <v>37</v>
      </c>
      <c r="V6" s="25" t="s">
        <v>38</v>
      </c>
      <c r="W6" s="26" t="s">
        <v>39</v>
      </c>
      <c r="X6" s="26" t="s">
        <v>40</v>
      </c>
      <c r="Y6" s="25" t="s">
        <v>41</v>
      </c>
      <c r="Z6" s="25" t="s">
        <v>42</v>
      </c>
      <c r="AA6" s="25" t="s">
        <v>43</v>
      </c>
      <c r="AB6" s="25" t="s">
        <v>44</v>
      </c>
      <c r="AC6" s="25" t="s">
        <v>45</v>
      </c>
      <c r="AD6" s="26" t="s">
        <v>46</v>
      </c>
      <c r="AE6" s="26" t="s">
        <v>47</v>
      </c>
      <c r="AF6" s="25" t="s">
        <v>48</v>
      </c>
      <c r="AG6" s="25" t="s">
        <v>49</v>
      </c>
      <c r="AH6" s="25" t="s">
        <v>51</v>
      </c>
      <c r="AI6" s="25" t="s">
        <v>52</v>
      </c>
      <c r="AJ6" s="25" t="s">
        <v>53</v>
      </c>
      <c r="AK6" s="26" t="s">
        <v>54</v>
      </c>
      <c r="AL6" s="26" t="s">
        <v>55</v>
      </c>
      <c r="AM6" s="25" t="s">
        <v>56</v>
      </c>
      <c r="AN6" s="25" t="s">
        <v>57</v>
      </c>
      <c r="AO6" s="25" t="s">
        <v>58</v>
      </c>
      <c r="AP6" s="25" t="s">
        <v>59</v>
      </c>
      <c r="AQ6" s="25" t="s">
        <v>60</v>
      </c>
      <c r="AR6" s="26" t="s">
        <v>61</v>
      </c>
      <c r="AS6" s="26" t="s">
        <v>62</v>
      </c>
      <c r="AT6" s="25" t="s">
        <v>63</v>
      </c>
      <c r="AU6" s="25" t="s">
        <v>64</v>
      </c>
      <c r="AV6" s="25" t="s">
        <v>65</v>
      </c>
    </row>
    <row r="7" ht="30.0" customHeight="1">
      <c r="A7" s="1"/>
      <c r="B7" s="28" t="s">
        <v>66</v>
      </c>
      <c r="C7" s="29" t="s">
        <v>67</v>
      </c>
      <c r="D7" s="29" t="s">
        <v>68</v>
      </c>
      <c r="E7" s="30" t="s">
        <v>69</v>
      </c>
      <c r="F7" s="31">
        <v>46202.0</v>
      </c>
      <c r="G7" s="31">
        <v>46204.0</v>
      </c>
      <c r="H7" s="33" t="s">
        <v>13</v>
      </c>
      <c r="I7" s="33" t="s">
        <v>6</v>
      </c>
      <c r="J7" s="29"/>
      <c r="K7" s="20"/>
      <c r="L7" s="20"/>
      <c r="M7" s="20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</row>
    <row r="8" ht="30.0" customHeight="1">
      <c r="A8" s="1"/>
      <c r="B8" s="38" t="s">
        <v>72</v>
      </c>
      <c r="C8" s="39" t="s">
        <v>73</v>
      </c>
      <c r="D8" s="39" t="s">
        <v>74</v>
      </c>
      <c r="E8" s="40" t="s">
        <v>75</v>
      </c>
      <c r="F8" s="41">
        <v>46204.0</v>
      </c>
      <c r="G8" s="41">
        <v>46205.0</v>
      </c>
      <c r="H8" s="33" t="s">
        <v>13</v>
      </c>
      <c r="I8" s="33" t="s">
        <v>6</v>
      </c>
      <c r="J8" s="39"/>
      <c r="K8" s="35"/>
      <c r="L8" s="35"/>
      <c r="M8" s="20"/>
      <c r="N8" s="20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</row>
    <row r="9" ht="30.0" customHeight="1">
      <c r="A9" s="1"/>
      <c r="B9" s="28" t="s">
        <v>76</v>
      </c>
      <c r="C9" s="29" t="s">
        <v>77</v>
      </c>
      <c r="D9" s="29" t="s">
        <v>78</v>
      </c>
      <c r="E9" s="42" t="s">
        <v>79</v>
      </c>
      <c r="F9" s="31">
        <v>46204.0</v>
      </c>
      <c r="G9" s="31">
        <v>46209.0</v>
      </c>
      <c r="H9" s="43" t="s">
        <v>12</v>
      </c>
      <c r="I9" s="33" t="s">
        <v>6</v>
      </c>
      <c r="J9" s="29" t="s">
        <v>80</v>
      </c>
      <c r="K9" s="35"/>
      <c r="L9" s="35"/>
      <c r="M9" s="18"/>
      <c r="N9" s="18"/>
      <c r="O9" s="18"/>
      <c r="P9" s="18"/>
      <c r="Q9" s="18"/>
      <c r="R9" s="18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</row>
    <row r="10" ht="30.0" customHeight="1">
      <c r="A10" s="1"/>
      <c r="B10" s="38" t="s">
        <v>72</v>
      </c>
      <c r="C10" s="39" t="s">
        <v>73</v>
      </c>
      <c r="D10" s="44" t="s">
        <v>81</v>
      </c>
      <c r="E10" s="45" t="s">
        <v>82</v>
      </c>
      <c r="F10" s="41">
        <v>46205.0</v>
      </c>
      <c r="G10" s="41">
        <v>46206.0</v>
      </c>
      <c r="H10" s="33" t="s">
        <v>13</v>
      </c>
      <c r="I10" s="33" t="s">
        <v>6</v>
      </c>
      <c r="J10" s="39"/>
      <c r="K10" s="35"/>
      <c r="L10" s="35"/>
      <c r="M10" s="35"/>
      <c r="N10" s="20"/>
      <c r="O10" s="20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</row>
    <row r="11" ht="30.0" customHeight="1">
      <c r="A11" s="1"/>
      <c r="B11" s="28" t="s">
        <v>66</v>
      </c>
      <c r="C11" s="29" t="s">
        <v>83</v>
      </c>
      <c r="D11" s="29" t="s">
        <v>84</v>
      </c>
      <c r="E11" s="30" t="s">
        <v>85</v>
      </c>
      <c r="F11" s="31">
        <v>46205.0</v>
      </c>
      <c r="G11" s="31">
        <v>46206.0</v>
      </c>
      <c r="H11" s="33" t="s">
        <v>13</v>
      </c>
      <c r="I11" s="33" t="s">
        <v>6</v>
      </c>
      <c r="J11" s="29"/>
      <c r="K11" s="35"/>
      <c r="L11" s="35"/>
      <c r="M11" s="35"/>
      <c r="N11" s="20"/>
      <c r="O11" s="20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</row>
    <row r="12" ht="30.0" customHeight="1">
      <c r="A12" s="1"/>
      <c r="B12" s="38" t="s">
        <v>86</v>
      </c>
      <c r="C12" s="39" t="s">
        <v>87</v>
      </c>
      <c r="D12" s="39" t="s">
        <v>88</v>
      </c>
      <c r="E12" s="40" t="s">
        <v>89</v>
      </c>
      <c r="F12" s="41">
        <v>46205.0</v>
      </c>
      <c r="G12" s="41">
        <v>46206.0</v>
      </c>
      <c r="H12" s="43" t="s">
        <v>12</v>
      </c>
      <c r="I12" s="33" t="s">
        <v>6</v>
      </c>
      <c r="J12" s="39"/>
      <c r="K12" s="35"/>
      <c r="L12" s="35"/>
      <c r="M12" s="35"/>
      <c r="N12" s="18"/>
      <c r="O12" s="18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ht="30.0" customHeight="1">
      <c r="A13" s="1"/>
      <c r="B13" s="28" t="s">
        <v>86</v>
      </c>
      <c r="C13" s="29" t="s">
        <v>90</v>
      </c>
      <c r="D13" s="29" t="s">
        <v>91</v>
      </c>
      <c r="E13" s="42" t="s">
        <v>92</v>
      </c>
      <c r="F13" s="31">
        <v>46205.0</v>
      </c>
      <c r="G13" s="31">
        <v>46206.0</v>
      </c>
      <c r="H13" s="43" t="s">
        <v>12</v>
      </c>
      <c r="I13" s="33" t="s">
        <v>6</v>
      </c>
      <c r="J13" s="29"/>
      <c r="K13" s="35"/>
      <c r="L13" s="35"/>
      <c r="M13" s="35"/>
      <c r="N13" s="18"/>
      <c r="O13" s="18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ht="30.0" customHeight="1">
      <c r="A14" s="1"/>
      <c r="B14" s="38" t="s">
        <v>86</v>
      </c>
      <c r="C14" s="39" t="s">
        <v>93</v>
      </c>
      <c r="D14" s="39" t="s">
        <v>94</v>
      </c>
      <c r="E14" s="45" t="s">
        <v>95</v>
      </c>
      <c r="F14" s="41">
        <v>46206.0</v>
      </c>
      <c r="G14" s="41">
        <v>46209.0</v>
      </c>
      <c r="H14" s="43" t="s">
        <v>12</v>
      </c>
      <c r="I14" s="33" t="s">
        <v>6</v>
      </c>
      <c r="J14" s="39"/>
      <c r="K14" s="35"/>
      <c r="L14" s="35"/>
      <c r="M14" s="35"/>
      <c r="N14" s="35"/>
      <c r="O14" s="18"/>
      <c r="P14" s="18"/>
      <c r="Q14" s="18"/>
      <c r="R14" s="18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ht="30.0" customHeight="1">
      <c r="A15" s="1"/>
      <c r="B15" s="46" t="s">
        <v>96</v>
      </c>
      <c r="C15" s="29" t="s">
        <v>97</v>
      </c>
      <c r="D15" s="47" t="s">
        <v>98</v>
      </c>
      <c r="E15" s="42" t="s">
        <v>99</v>
      </c>
      <c r="F15" s="31">
        <v>46206.0</v>
      </c>
      <c r="G15" s="31">
        <v>46216.0</v>
      </c>
      <c r="H15" s="33" t="s">
        <v>13</v>
      </c>
      <c r="I15" s="33" t="s">
        <v>6</v>
      </c>
      <c r="J15" s="29"/>
      <c r="K15" s="35"/>
      <c r="L15" s="35"/>
      <c r="M15" s="35"/>
      <c r="N15" s="35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ht="30.0" customHeight="1">
      <c r="A16" s="1"/>
      <c r="B16" s="38" t="s">
        <v>100</v>
      </c>
      <c r="C16" s="39" t="s">
        <v>101</v>
      </c>
      <c r="D16" s="39" t="s">
        <v>102</v>
      </c>
      <c r="E16" s="40" t="s">
        <v>103</v>
      </c>
      <c r="F16" s="41">
        <v>46206.0</v>
      </c>
      <c r="G16" s="41">
        <v>46209.0</v>
      </c>
      <c r="H16" s="48" t="s">
        <v>14</v>
      </c>
      <c r="I16" s="33" t="s">
        <v>6</v>
      </c>
      <c r="J16" s="39" t="s">
        <v>104</v>
      </c>
      <c r="K16" s="35"/>
      <c r="L16" s="35"/>
      <c r="M16" s="35"/>
      <c r="N16" s="35"/>
      <c r="O16" s="21"/>
      <c r="P16" s="21"/>
      <c r="Q16" s="21"/>
      <c r="R16" s="21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ht="30.0" customHeight="1">
      <c r="A17" s="1"/>
      <c r="B17" s="38" t="s">
        <v>105</v>
      </c>
      <c r="C17" s="39" t="s">
        <v>106</v>
      </c>
      <c r="D17" s="39" t="s">
        <v>107</v>
      </c>
      <c r="E17" s="40" t="s">
        <v>108</v>
      </c>
      <c r="F17" s="41">
        <v>46209.0</v>
      </c>
      <c r="G17" s="41">
        <v>46210.0</v>
      </c>
      <c r="H17" s="43" t="s">
        <v>12</v>
      </c>
      <c r="I17" s="33" t="s">
        <v>6</v>
      </c>
      <c r="J17" s="39"/>
      <c r="K17" s="35"/>
      <c r="L17" s="35"/>
      <c r="M17" s="35"/>
      <c r="N17" s="35"/>
      <c r="O17" s="35"/>
      <c r="P17" s="35"/>
      <c r="Q17" s="35"/>
      <c r="R17" s="18"/>
      <c r="S17" s="18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ht="30.0" customHeight="1">
      <c r="A18" s="1"/>
      <c r="B18" s="28" t="s">
        <v>109</v>
      </c>
      <c r="C18" s="29" t="s">
        <v>110</v>
      </c>
      <c r="D18" s="47" t="s">
        <v>111</v>
      </c>
      <c r="E18" s="42" t="s">
        <v>112</v>
      </c>
      <c r="F18" s="31">
        <v>46209.0</v>
      </c>
      <c r="G18" s="31">
        <v>46211.0</v>
      </c>
      <c r="H18" s="49" t="s">
        <v>16</v>
      </c>
      <c r="I18" s="33" t="s">
        <v>6</v>
      </c>
      <c r="J18" s="29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ht="30.0" customHeight="1">
      <c r="A19" s="1"/>
      <c r="B19" s="38" t="s">
        <v>113</v>
      </c>
      <c r="C19" s="39" t="s">
        <v>114</v>
      </c>
      <c r="D19" s="39" t="s">
        <v>115</v>
      </c>
      <c r="E19" s="40" t="s">
        <v>116</v>
      </c>
      <c r="F19" s="41">
        <v>46209.0</v>
      </c>
      <c r="G19" s="41">
        <v>46216.0</v>
      </c>
      <c r="H19" s="49" t="s">
        <v>16</v>
      </c>
      <c r="I19" s="33" t="s">
        <v>6</v>
      </c>
      <c r="J19" s="39"/>
      <c r="K19" s="35"/>
      <c r="L19" s="35"/>
      <c r="M19" s="35"/>
      <c r="N19" s="35"/>
      <c r="O19" s="35"/>
      <c r="P19" s="35"/>
      <c r="Q19" s="35"/>
      <c r="R19" s="22"/>
      <c r="S19" s="22"/>
      <c r="T19" s="22"/>
      <c r="U19" s="22"/>
      <c r="V19" s="22"/>
      <c r="W19" s="22"/>
      <c r="X19" s="22"/>
      <c r="Y19" s="22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ht="30.0" customHeight="1">
      <c r="A20" s="1"/>
      <c r="B20" s="28" t="s">
        <v>109</v>
      </c>
      <c r="C20" s="29" t="s">
        <v>117</v>
      </c>
      <c r="D20" s="29" t="s">
        <v>118</v>
      </c>
      <c r="E20" s="30" t="s">
        <v>119</v>
      </c>
      <c r="F20" s="31">
        <v>46209.0</v>
      </c>
      <c r="G20" s="31">
        <v>46216.0</v>
      </c>
      <c r="H20" s="49" t="s">
        <v>16</v>
      </c>
      <c r="I20" s="33" t="s">
        <v>6</v>
      </c>
      <c r="J20" s="50"/>
      <c r="K20" s="35"/>
      <c r="L20" s="35"/>
      <c r="M20" s="35"/>
      <c r="N20" s="35"/>
      <c r="O20" s="35"/>
      <c r="P20" s="35"/>
      <c r="Q20" s="35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ht="30.0" customHeight="1">
      <c r="A21" s="1"/>
      <c r="B21" s="28" t="s">
        <v>113</v>
      </c>
      <c r="C21" s="29" t="s">
        <v>120</v>
      </c>
      <c r="D21" s="47" t="s">
        <v>121</v>
      </c>
      <c r="E21" s="30" t="s">
        <v>122</v>
      </c>
      <c r="F21" s="31">
        <v>46209.0</v>
      </c>
      <c r="G21" s="31">
        <v>46217.0</v>
      </c>
      <c r="H21" s="49" t="s">
        <v>16</v>
      </c>
      <c r="I21" s="33" t="s">
        <v>6</v>
      </c>
      <c r="J21" s="29"/>
      <c r="K21" s="35"/>
      <c r="L21" s="35"/>
      <c r="M21" s="35"/>
      <c r="N21" s="35"/>
      <c r="O21" s="35"/>
      <c r="P21" s="35"/>
      <c r="Q21" s="35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ht="30.0" customHeight="1">
      <c r="A22" s="1"/>
      <c r="B22" s="51" t="s">
        <v>96</v>
      </c>
      <c r="C22" s="39" t="s">
        <v>97</v>
      </c>
      <c r="D22" s="39" t="s">
        <v>123</v>
      </c>
      <c r="E22" s="40" t="s">
        <v>124</v>
      </c>
      <c r="F22" s="41">
        <v>46209.0</v>
      </c>
      <c r="G22" s="41">
        <v>46218.0</v>
      </c>
      <c r="H22" s="33" t="s">
        <v>13</v>
      </c>
      <c r="I22" s="33" t="s">
        <v>6</v>
      </c>
      <c r="J22" s="39"/>
      <c r="K22" s="35"/>
      <c r="L22" s="35"/>
      <c r="M22" s="35"/>
      <c r="N22" s="35"/>
      <c r="O22" s="35"/>
      <c r="P22" s="35"/>
      <c r="Q22" s="35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ht="30.0" customHeight="1">
      <c r="A23" s="1"/>
      <c r="B23" s="28" t="s">
        <v>113</v>
      </c>
      <c r="C23" s="29" t="s">
        <v>125</v>
      </c>
      <c r="D23" s="47" t="s">
        <v>126</v>
      </c>
      <c r="E23" s="42" t="s">
        <v>127</v>
      </c>
      <c r="F23" s="31">
        <v>46209.0</v>
      </c>
      <c r="G23" s="31">
        <v>46226.0</v>
      </c>
      <c r="H23" s="49" t="s">
        <v>16</v>
      </c>
      <c r="I23" s="33" t="s">
        <v>6</v>
      </c>
      <c r="J23" s="29"/>
      <c r="K23" s="35"/>
      <c r="L23" s="35"/>
      <c r="M23" s="35"/>
      <c r="N23" s="35"/>
      <c r="O23" s="35"/>
      <c r="P23" s="35"/>
      <c r="Q23" s="35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ht="30.0" customHeight="1">
      <c r="A24" s="1"/>
      <c r="B24" s="28" t="s">
        <v>109</v>
      </c>
      <c r="C24" s="29" t="s">
        <v>128</v>
      </c>
      <c r="D24" s="29" t="s">
        <v>129</v>
      </c>
      <c r="E24" s="42" t="s">
        <v>130</v>
      </c>
      <c r="F24" s="31">
        <v>46210.0</v>
      </c>
      <c r="G24" s="31">
        <v>46210.0</v>
      </c>
      <c r="H24" s="33" t="s">
        <v>13</v>
      </c>
      <c r="I24" s="33" t="s">
        <v>6</v>
      </c>
      <c r="J24" s="29"/>
      <c r="K24" s="35"/>
      <c r="L24" s="35"/>
      <c r="M24" s="35"/>
      <c r="N24" s="35"/>
      <c r="O24" s="35"/>
      <c r="P24" s="35"/>
      <c r="Q24" s="35"/>
      <c r="R24" s="35"/>
      <c r="S24" s="20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ht="30.0" customHeight="1">
      <c r="A25" s="1"/>
      <c r="B25" s="38" t="s">
        <v>131</v>
      </c>
      <c r="C25" s="39" t="s">
        <v>132</v>
      </c>
      <c r="D25" s="39" t="s">
        <v>133</v>
      </c>
      <c r="E25" s="40" t="s">
        <v>134</v>
      </c>
      <c r="F25" s="41">
        <v>46210.0</v>
      </c>
      <c r="G25" s="41">
        <v>46212.0</v>
      </c>
      <c r="H25" s="33" t="s">
        <v>13</v>
      </c>
      <c r="I25" s="33" t="s">
        <v>6</v>
      </c>
      <c r="J25" s="39"/>
      <c r="K25" s="35"/>
      <c r="L25" s="35"/>
      <c r="M25" s="35"/>
      <c r="N25" s="35"/>
      <c r="O25" s="35"/>
      <c r="P25" s="35"/>
      <c r="Q25" s="35"/>
      <c r="R25" s="35"/>
      <c r="S25" s="20"/>
      <c r="T25" s="20"/>
      <c r="U25" s="20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ht="30.0" customHeight="1">
      <c r="A26" s="1"/>
      <c r="B26" s="28" t="s">
        <v>105</v>
      </c>
      <c r="C26" s="29" t="s">
        <v>135</v>
      </c>
      <c r="D26" s="29" t="s">
        <v>136</v>
      </c>
      <c r="E26" s="42" t="s">
        <v>137</v>
      </c>
      <c r="F26" s="31">
        <v>46210.0</v>
      </c>
      <c r="G26" s="31">
        <v>46216.0</v>
      </c>
      <c r="H26" s="43" t="s">
        <v>12</v>
      </c>
      <c r="I26" s="33" t="s">
        <v>6</v>
      </c>
      <c r="J26" s="29"/>
      <c r="K26" s="35"/>
      <c r="L26" s="35"/>
      <c r="M26" s="35"/>
      <c r="N26" s="35"/>
      <c r="O26" s="35"/>
      <c r="P26" s="35"/>
      <c r="Q26" s="35"/>
      <c r="R26" s="35"/>
      <c r="S26" s="18"/>
      <c r="T26" s="18"/>
      <c r="U26" s="18"/>
      <c r="V26" s="18"/>
      <c r="W26" s="18"/>
      <c r="X26" s="18"/>
      <c r="Y26" s="18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ht="30.0" customHeight="1">
      <c r="A27" s="1"/>
      <c r="B27" s="38" t="s">
        <v>100</v>
      </c>
      <c r="C27" s="39" t="s">
        <v>101</v>
      </c>
      <c r="D27" s="39" t="s">
        <v>138</v>
      </c>
      <c r="E27" s="40" t="s">
        <v>139</v>
      </c>
      <c r="F27" s="41">
        <v>46210.0</v>
      </c>
      <c r="G27" s="41">
        <v>46210.0</v>
      </c>
      <c r="H27" s="48" t="s">
        <v>14</v>
      </c>
      <c r="I27" s="33" t="s">
        <v>6</v>
      </c>
      <c r="J27" s="39" t="s">
        <v>140</v>
      </c>
      <c r="K27" s="35"/>
      <c r="L27" s="35"/>
      <c r="M27" s="35"/>
      <c r="N27" s="35"/>
      <c r="O27" s="35"/>
      <c r="P27" s="35"/>
      <c r="Q27" s="35"/>
      <c r="R27" s="35"/>
      <c r="S27" s="21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ht="30.0" customHeight="1">
      <c r="A28" s="1"/>
      <c r="B28" s="38" t="s">
        <v>86</v>
      </c>
      <c r="C28" s="39" t="s">
        <v>141</v>
      </c>
      <c r="D28" s="39" t="s">
        <v>142</v>
      </c>
      <c r="E28" s="40" t="s">
        <v>143</v>
      </c>
      <c r="F28" s="41">
        <v>46211.0</v>
      </c>
      <c r="G28" s="41">
        <v>46211.0</v>
      </c>
      <c r="H28" s="43" t="s">
        <v>12</v>
      </c>
      <c r="I28" s="33" t="s">
        <v>6</v>
      </c>
      <c r="J28" s="39"/>
      <c r="K28" s="35"/>
      <c r="L28" s="35"/>
      <c r="M28" s="35"/>
      <c r="N28" s="35"/>
      <c r="O28" s="35"/>
      <c r="P28" s="35"/>
      <c r="Q28" s="35"/>
      <c r="R28" s="35"/>
      <c r="S28" s="35"/>
      <c r="T28" s="18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ht="30.0" customHeight="1">
      <c r="A29" s="1"/>
      <c r="B29" s="28" t="s">
        <v>66</v>
      </c>
      <c r="C29" s="29" t="s">
        <v>144</v>
      </c>
      <c r="D29" s="29" t="s">
        <v>145</v>
      </c>
      <c r="E29" s="30" t="s">
        <v>146</v>
      </c>
      <c r="F29" s="31">
        <v>46211.0</v>
      </c>
      <c r="G29" s="31">
        <v>46216.0</v>
      </c>
      <c r="H29" s="33" t="s">
        <v>13</v>
      </c>
      <c r="I29" s="33" t="s">
        <v>6</v>
      </c>
      <c r="J29" s="29"/>
      <c r="K29" s="35"/>
      <c r="L29" s="35"/>
      <c r="M29" s="35"/>
      <c r="N29" s="35"/>
      <c r="O29" s="35"/>
      <c r="P29" s="35"/>
      <c r="Q29" s="35"/>
      <c r="R29" s="35"/>
      <c r="S29" s="35"/>
      <c r="T29" s="20"/>
      <c r="U29" s="20"/>
      <c r="V29" s="20"/>
      <c r="W29" s="20"/>
      <c r="X29" s="20"/>
      <c r="Y29" s="20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ht="30.0" customHeight="1">
      <c r="A30" s="1"/>
      <c r="B30" s="38" t="s">
        <v>100</v>
      </c>
      <c r="C30" s="39" t="s">
        <v>101</v>
      </c>
      <c r="D30" s="39" t="s">
        <v>129</v>
      </c>
      <c r="E30" s="40" t="s">
        <v>147</v>
      </c>
      <c r="F30" s="41">
        <v>46211.0</v>
      </c>
      <c r="G30" s="41">
        <v>46211.0</v>
      </c>
      <c r="H30" s="48" t="s">
        <v>14</v>
      </c>
      <c r="I30" s="33" t="s">
        <v>6</v>
      </c>
      <c r="J30" s="39" t="s">
        <v>148</v>
      </c>
      <c r="K30" s="35"/>
      <c r="L30" s="35"/>
      <c r="M30" s="35"/>
      <c r="N30" s="35"/>
      <c r="O30" s="35"/>
      <c r="P30" s="35"/>
      <c r="Q30" s="35"/>
      <c r="R30" s="35"/>
      <c r="S30" s="35"/>
      <c r="T30" s="21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ht="30.0" customHeight="1">
      <c r="A31" s="1"/>
      <c r="B31" s="38" t="s">
        <v>149</v>
      </c>
      <c r="C31" s="39" t="s">
        <v>150</v>
      </c>
      <c r="D31" s="39" t="s">
        <v>151</v>
      </c>
      <c r="E31" s="40" t="s">
        <v>152</v>
      </c>
      <c r="F31" s="41">
        <v>46211.0</v>
      </c>
      <c r="G31" s="41">
        <v>46211.0</v>
      </c>
      <c r="H31" s="48" t="s">
        <v>14</v>
      </c>
      <c r="I31" s="33" t="s">
        <v>6</v>
      </c>
      <c r="J31" s="39" t="s">
        <v>153</v>
      </c>
      <c r="K31" s="35"/>
      <c r="L31" s="35"/>
      <c r="M31" s="35"/>
      <c r="N31" s="35"/>
      <c r="O31" s="35"/>
      <c r="P31" s="35"/>
      <c r="Q31" s="35"/>
      <c r="R31" s="35"/>
      <c r="S31" s="35"/>
      <c r="T31" s="21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ht="30.0" customHeight="1">
      <c r="A32" s="1"/>
      <c r="B32" s="38" t="s">
        <v>154</v>
      </c>
      <c r="C32" s="39" t="s">
        <v>155</v>
      </c>
      <c r="D32" s="39" t="s">
        <v>156</v>
      </c>
      <c r="E32" s="45" t="s">
        <v>157</v>
      </c>
      <c r="F32" s="41">
        <v>46212.0</v>
      </c>
      <c r="G32" s="41">
        <v>46223.0</v>
      </c>
      <c r="H32" s="33" t="s">
        <v>13</v>
      </c>
      <c r="I32" s="33" t="s">
        <v>6</v>
      </c>
      <c r="J32" s="39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ht="30.0" customHeight="1">
      <c r="A33" s="1"/>
      <c r="B33" s="28" t="s">
        <v>113</v>
      </c>
      <c r="C33" s="29" t="s">
        <v>158</v>
      </c>
      <c r="D33" s="47" t="s">
        <v>159</v>
      </c>
      <c r="E33" s="42" t="s">
        <v>160</v>
      </c>
      <c r="F33" s="31">
        <v>46212.0</v>
      </c>
      <c r="G33" s="31">
        <v>46225.0</v>
      </c>
      <c r="H33" s="49" t="s">
        <v>16</v>
      </c>
      <c r="I33" s="33" t="s">
        <v>6</v>
      </c>
      <c r="J33" s="29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ht="30.0" customHeight="1">
      <c r="A34" s="1"/>
      <c r="B34" s="38" t="s">
        <v>66</v>
      </c>
      <c r="C34" s="39" t="s">
        <v>144</v>
      </c>
      <c r="D34" s="39" t="s">
        <v>161</v>
      </c>
      <c r="E34" s="40" t="s">
        <v>162</v>
      </c>
      <c r="F34" s="41">
        <v>46212.0</v>
      </c>
      <c r="G34" s="41">
        <v>46226.0</v>
      </c>
      <c r="H34" s="43" t="s">
        <v>12</v>
      </c>
      <c r="I34" s="33" t="s">
        <v>6</v>
      </c>
      <c r="J34" s="39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ht="30.0" customHeight="1">
      <c r="A35" s="1"/>
      <c r="B35" s="38" t="s">
        <v>100</v>
      </c>
      <c r="C35" s="39" t="s">
        <v>101</v>
      </c>
      <c r="D35" s="39" t="s">
        <v>163</v>
      </c>
      <c r="E35" s="40" t="s">
        <v>164</v>
      </c>
      <c r="F35" s="41">
        <v>46212.0</v>
      </c>
      <c r="G35" s="41">
        <v>46212.0</v>
      </c>
      <c r="H35" s="48" t="s">
        <v>14</v>
      </c>
      <c r="I35" s="33" t="s">
        <v>6</v>
      </c>
      <c r="J35" s="39" t="s">
        <v>165</v>
      </c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21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ht="30.0" customHeight="1">
      <c r="A36" s="1"/>
      <c r="B36" s="38" t="s">
        <v>149</v>
      </c>
      <c r="C36" s="39" t="s">
        <v>150</v>
      </c>
      <c r="D36" s="39" t="s">
        <v>166</v>
      </c>
      <c r="E36" s="40" t="s">
        <v>167</v>
      </c>
      <c r="F36" s="41">
        <v>46212.0</v>
      </c>
      <c r="G36" s="41">
        <v>46212.0</v>
      </c>
      <c r="H36" s="48" t="s">
        <v>14</v>
      </c>
      <c r="I36" s="33" t="s">
        <v>6</v>
      </c>
      <c r="J36" s="39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21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ht="30.0" customHeight="1">
      <c r="A37" s="1"/>
      <c r="B37" s="28" t="s">
        <v>168</v>
      </c>
      <c r="C37" s="29" t="s">
        <v>169</v>
      </c>
      <c r="D37" s="29" t="s">
        <v>170</v>
      </c>
      <c r="E37" s="42" t="s">
        <v>171</v>
      </c>
      <c r="F37" s="31">
        <v>46213.0</v>
      </c>
      <c r="G37" s="31">
        <v>46217.0</v>
      </c>
      <c r="H37" s="43" t="s">
        <v>12</v>
      </c>
      <c r="I37" s="33" t="s">
        <v>6</v>
      </c>
      <c r="J37" s="29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18"/>
      <c r="W37" s="18"/>
      <c r="X37" s="18"/>
      <c r="Y37" s="18"/>
      <c r="Z37" s="18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ht="30.0" customHeight="1">
      <c r="A38" s="1"/>
      <c r="B38" s="38" t="s">
        <v>100</v>
      </c>
      <c r="C38" s="39" t="s">
        <v>101</v>
      </c>
      <c r="D38" s="39" t="s">
        <v>172</v>
      </c>
      <c r="E38" s="40" t="s">
        <v>173</v>
      </c>
      <c r="F38" s="41">
        <v>46213.0</v>
      </c>
      <c r="G38" s="41">
        <v>46217.0</v>
      </c>
      <c r="H38" s="48" t="s">
        <v>14</v>
      </c>
      <c r="I38" s="33" t="s">
        <v>6</v>
      </c>
      <c r="J38" s="39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21"/>
      <c r="W38" s="21"/>
      <c r="X38" s="21"/>
      <c r="Y38" s="21"/>
      <c r="Z38" s="21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ht="30.0" customHeight="1">
      <c r="A39" s="1"/>
      <c r="B39" s="28" t="s">
        <v>154</v>
      </c>
      <c r="C39" s="29" t="s">
        <v>155</v>
      </c>
      <c r="D39" s="29" t="s">
        <v>174</v>
      </c>
      <c r="E39" s="42" t="s">
        <v>175</v>
      </c>
      <c r="F39" s="31">
        <v>46216.0</v>
      </c>
      <c r="G39" s="31">
        <v>46223.0</v>
      </c>
      <c r="H39" s="33" t="s">
        <v>13</v>
      </c>
      <c r="I39" s="33" t="s">
        <v>6</v>
      </c>
      <c r="J39" s="29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20"/>
      <c r="Z39" s="20"/>
      <c r="AA39" s="20"/>
      <c r="AB39" s="20"/>
      <c r="AC39" s="20"/>
      <c r="AD39" s="20"/>
      <c r="AE39" s="20"/>
      <c r="AF39" s="20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ht="30.0" customHeight="1">
      <c r="A40" s="1"/>
      <c r="B40" s="38" t="s">
        <v>105</v>
      </c>
      <c r="C40" s="39" t="s">
        <v>176</v>
      </c>
      <c r="D40" s="39" t="s">
        <v>177</v>
      </c>
      <c r="E40" s="40" t="s">
        <v>178</v>
      </c>
      <c r="F40" s="41">
        <v>46216.0</v>
      </c>
      <c r="G40" s="41">
        <v>46225.0</v>
      </c>
      <c r="H40" s="43" t="s">
        <v>12</v>
      </c>
      <c r="I40" s="33" t="s">
        <v>6</v>
      </c>
      <c r="J40" s="3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ht="30.0" customHeight="1">
      <c r="A41" s="1"/>
      <c r="B41" s="38" t="s">
        <v>179</v>
      </c>
      <c r="C41" s="39" t="s">
        <v>180</v>
      </c>
      <c r="D41" s="39" t="s">
        <v>181</v>
      </c>
      <c r="E41" s="40" t="s">
        <v>182</v>
      </c>
      <c r="F41" s="41">
        <v>46216.0</v>
      </c>
      <c r="G41" s="41">
        <v>46216.0</v>
      </c>
      <c r="H41" s="48" t="s">
        <v>14</v>
      </c>
      <c r="I41" s="33" t="s">
        <v>6</v>
      </c>
      <c r="J41" s="39" t="s">
        <v>183</v>
      </c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21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ht="30.0" customHeight="1">
      <c r="A42" s="1"/>
      <c r="B42" s="28" t="s">
        <v>72</v>
      </c>
      <c r="C42" s="29" t="s">
        <v>73</v>
      </c>
      <c r="D42" s="47" t="s">
        <v>184</v>
      </c>
      <c r="E42" s="42" t="s">
        <v>185</v>
      </c>
      <c r="F42" s="31">
        <v>46217.0</v>
      </c>
      <c r="G42" s="31">
        <v>46217.0</v>
      </c>
      <c r="H42" s="33" t="s">
        <v>13</v>
      </c>
      <c r="I42" s="33" t="s">
        <v>6</v>
      </c>
      <c r="J42" s="29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20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ht="30.0" customHeight="1">
      <c r="A43" s="1"/>
      <c r="B43" s="38" t="s">
        <v>168</v>
      </c>
      <c r="C43" s="39" t="s">
        <v>169</v>
      </c>
      <c r="D43" s="39" t="s">
        <v>186</v>
      </c>
      <c r="E43" s="40" t="s">
        <v>187</v>
      </c>
      <c r="F43" s="41">
        <v>46217.0</v>
      </c>
      <c r="G43" s="41">
        <v>46217.0</v>
      </c>
      <c r="H43" s="43" t="s">
        <v>12</v>
      </c>
      <c r="I43" s="33" t="s">
        <v>6</v>
      </c>
      <c r="J43" s="39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18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ht="30.0" customHeight="1">
      <c r="A44" s="1"/>
      <c r="B44" s="28" t="s">
        <v>113</v>
      </c>
      <c r="C44" s="29" t="s">
        <v>188</v>
      </c>
      <c r="D44" s="29" t="s">
        <v>189</v>
      </c>
      <c r="E44" s="30" t="s">
        <v>190</v>
      </c>
      <c r="F44" s="31">
        <v>46217.0</v>
      </c>
      <c r="G44" s="31">
        <v>46217.0</v>
      </c>
      <c r="H44" s="49" t="s">
        <v>16</v>
      </c>
      <c r="I44" s="33" t="s">
        <v>6</v>
      </c>
      <c r="J44" s="29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22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</row>
    <row r="45" ht="30.0" customHeight="1">
      <c r="A45" s="1"/>
      <c r="B45" s="38" t="s">
        <v>131</v>
      </c>
      <c r="C45" s="39" t="s">
        <v>191</v>
      </c>
      <c r="D45" s="39" t="s">
        <v>192</v>
      </c>
      <c r="E45" s="45" t="s">
        <v>193</v>
      </c>
      <c r="F45" s="41">
        <v>46217.0</v>
      </c>
      <c r="G45" s="41">
        <v>46218.0</v>
      </c>
      <c r="H45" s="43" t="s">
        <v>12</v>
      </c>
      <c r="I45" s="33" t="s">
        <v>6</v>
      </c>
      <c r="J45" s="39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18"/>
      <c r="AA45" s="18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</row>
    <row r="46" ht="30.0" customHeight="1">
      <c r="A46" s="1"/>
      <c r="B46" s="28" t="s">
        <v>72</v>
      </c>
      <c r="C46" s="29" t="s">
        <v>73</v>
      </c>
      <c r="D46" s="29" t="s">
        <v>194</v>
      </c>
      <c r="E46" s="30" t="s">
        <v>195</v>
      </c>
      <c r="F46" s="31">
        <v>46218.0</v>
      </c>
      <c r="G46" s="31">
        <v>46218.0</v>
      </c>
      <c r="H46" s="33" t="s">
        <v>13</v>
      </c>
      <c r="I46" s="33" t="s">
        <v>6</v>
      </c>
      <c r="J46" s="29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20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</row>
    <row r="47" ht="30.0" customHeight="1">
      <c r="A47" s="1"/>
      <c r="B47" s="38" t="s">
        <v>109</v>
      </c>
      <c r="C47" s="39" t="s">
        <v>196</v>
      </c>
      <c r="D47" s="39" t="s">
        <v>197</v>
      </c>
      <c r="E47" s="45" t="s">
        <v>198</v>
      </c>
      <c r="F47" s="41">
        <v>46218.0</v>
      </c>
      <c r="G47" s="41">
        <v>46225.0</v>
      </c>
      <c r="H47" s="43" t="s">
        <v>12</v>
      </c>
      <c r="I47" s="33" t="s">
        <v>6</v>
      </c>
      <c r="J47" s="39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18"/>
      <c r="AB47" s="18"/>
      <c r="AC47" s="18"/>
      <c r="AD47" s="18"/>
      <c r="AE47" s="18"/>
      <c r="AF47" s="18"/>
      <c r="AG47" s="18"/>
      <c r="AH47" s="18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</row>
    <row r="48" ht="30.0" customHeight="1">
      <c r="A48" s="1"/>
      <c r="B48" s="38" t="s">
        <v>100</v>
      </c>
      <c r="C48" s="39" t="s">
        <v>199</v>
      </c>
      <c r="D48" s="39" t="s">
        <v>200</v>
      </c>
      <c r="E48" s="40" t="s">
        <v>201</v>
      </c>
      <c r="F48" s="41">
        <v>46218.0</v>
      </c>
      <c r="G48" s="41">
        <v>46224.0</v>
      </c>
      <c r="H48" s="48" t="s">
        <v>14</v>
      </c>
      <c r="I48" s="33" t="s">
        <v>6</v>
      </c>
      <c r="J48" s="39" t="s">
        <v>202</v>
      </c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21"/>
      <c r="AB48" s="21"/>
      <c r="AC48" s="21"/>
      <c r="AD48" s="21"/>
      <c r="AE48" s="21"/>
      <c r="AF48" s="21"/>
      <c r="AG48" s="21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</row>
    <row r="49" ht="30.0" customHeight="1">
      <c r="A49" s="1"/>
      <c r="B49" s="38" t="s">
        <v>179</v>
      </c>
      <c r="C49" s="39" t="s">
        <v>180</v>
      </c>
      <c r="D49" s="39" t="s">
        <v>203</v>
      </c>
      <c r="E49" s="40" t="s">
        <v>204</v>
      </c>
      <c r="F49" s="41">
        <v>46218.0</v>
      </c>
      <c r="G49" s="41">
        <v>46219.0</v>
      </c>
      <c r="H49" s="48" t="s">
        <v>14</v>
      </c>
      <c r="I49" s="33" t="s">
        <v>6</v>
      </c>
      <c r="J49" s="39" t="s">
        <v>205</v>
      </c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21"/>
      <c r="AB49" s="21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</row>
    <row r="50" ht="30.0" customHeight="1">
      <c r="A50" s="1"/>
      <c r="B50" s="38" t="s">
        <v>149</v>
      </c>
      <c r="C50" s="39" t="s">
        <v>206</v>
      </c>
      <c r="D50" s="39" t="s">
        <v>207</v>
      </c>
      <c r="E50" s="40" t="s">
        <v>208</v>
      </c>
      <c r="F50" s="41">
        <v>46219.0</v>
      </c>
      <c r="G50" s="41">
        <v>46219.0</v>
      </c>
      <c r="H50" s="48" t="s">
        <v>14</v>
      </c>
      <c r="I50" s="33" t="s">
        <v>6</v>
      </c>
      <c r="J50" s="39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21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</row>
    <row r="51" ht="30.0" customHeight="1">
      <c r="A51" s="1"/>
      <c r="B51" s="38" t="s">
        <v>76</v>
      </c>
      <c r="C51" s="39" t="s">
        <v>209</v>
      </c>
      <c r="D51" s="39" t="s">
        <v>210</v>
      </c>
      <c r="E51" s="40" t="s">
        <v>211</v>
      </c>
      <c r="F51" s="41">
        <v>46219.0</v>
      </c>
      <c r="G51" s="41">
        <v>46219.0</v>
      </c>
      <c r="H51" s="48" t="s">
        <v>14</v>
      </c>
      <c r="I51" s="33" t="s">
        <v>6</v>
      </c>
      <c r="J51" s="39" t="s">
        <v>212</v>
      </c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21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</row>
    <row r="52" ht="30.0" customHeight="1">
      <c r="A52" s="1"/>
      <c r="B52" s="38" t="s">
        <v>76</v>
      </c>
      <c r="C52" s="39" t="s">
        <v>213</v>
      </c>
      <c r="D52" s="39" t="s">
        <v>214</v>
      </c>
      <c r="E52" s="40" t="s">
        <v>215</v>
      </c>
      <c r="F52" s="41">
        <v>46219.0</v>
      </c>
      <c r="G52" s="41">
        <v>46220.0</v>
      </c>
      <c r="H52" s="48" t="s">
        <v>14</v>
      </c>
      <c r="I52" s="33" t="s">
        <v>6</v>
      </c>
      <c r="J52" s="39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21"/>
      <c r="AC52" s="21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</row>
    <row r="53" ht="30.0" customHeight="1">
      <c r="A53" s="1"/>
      <c r="B53" s="38" t="s">
        <v>76</v>
      </c>
      <c r="C53" s="39" t="s">
        <v>213</v>
      </c>
      <c r="D53" s="39" t="s">
        <v>216</v>
      </c>
      <c r="E53" s="40" t="s">
        <v>217</v>
      </c>
      <c r="F53" s="41">
        <v>46219.0</v>
      </c>
      <c r="G53" s="41">
        <v>46220.0</v>
      </c>
      <c r="H53" s="48" t="s">
        <v>14</v>
      </c>
      <c r="I53" s="33" t="s">
        <v>6</v>
      </c>
      <c r="J53" s="39" t="s">
        <v>218</v>
      </c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21"/>
      <c r="AC53" s="21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</row>
    <row r="54" ht="30.0" customHeight="1">
      <c r="A54" s="1"/>
      <c r="B54" s="38" t="s">
        <v>76</v>
      </c>
      <c r="C54" s="39" t="s">
        <v>213</v>
      </c>
      <c r="D54" s="39" t="s">
        <v>219</v>
      </c>
      <c r="E54" s="40" t="s">
        <v>220</v>
      </c>
      <c r="F54" s="41">
        <v>46219.0</v>
      </c>
      <c r="G54" s="41">
        <v>46220.0</v>
      </c>
      <c r="H54" s="48" t="s">
        <v>14</v>
      </c>
      <c r="I54" s="33" t="s">
        <v>6</v>
      </c>
      <c r="J54" s="39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21"/>
      <c r="AC54" s="21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</row>
    <row r="55" ht="30.0" customHeight="1">
      <c r="A55" s="1"/>
      <c r="B55" s="38" t="s">
        <v>179</v>
      </c>
      <c r="C55" s="39" t="s">
        <v>221</v>
      </c>
      <c r="D55" s="39" t="s">
        <v>222</v>
      </c>
      <c r="E55" s="40" t="s">
        <v>223</v>
      </c>
      <c r="F55" s="41">
        <v>46223.0</v>
      </c>
      <c r="G55" s="41">
        <v>46223.0</v>
      </c>
      <c r="H55" s="48" t="s">
        <v>14</v>
      </c>
      <c r="I55" s="33" t="s">
        <v>6</v>
      </c>
      <c r="J55" s="39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21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</row>
    <row r="56" ht="30.0" customHeight="1">
      <c r="A56" s="1"/>
      <c r="B56" s="38" t="s">
        <v>224</v>
      </c>
      <c r="C56" s="39" t="s">
        <v>225</v>
      </c>
      <c r="D56" s="39" t="s">
        <v>226</v>
      </c>
      <c r="E56" s="40" t="s">
        <v>227</v>
      </c>
      <c r="F56" s="41">
        <v>46223.0</v>
      </c>
      <c r="G56" s="41">
        <v>46223.0</v>
      </c>
      <c r="H56" s="48" t="s">
        <v>14</v>
      </c>
      <c r="I56" s="33" t="s">
        <v>6</v>
      </c>
      <c r="J56" s="39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21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</row>
    <row r="57" ht="30.0" customHeight="1">
      <c r="A57" s="1"/>
      <c r="B57" s="38" t="s">
        <v>76</v>
      </c>
      <c r="C57" s="39" t="s">
        <v>228</v>
      </c>
      <c r="D57" s="39" t="s">
        <v>229</v>
      </c>
      <c r="E57" s="40" t="s">
        <v>230</v>
      </c>
      <c r="F57" s="41">
        <v>46223.0</v>
      </c>
      <c r="G57" s="41">
        <v>46223.0</v>
      </c>
      <c r="H57" s="48" t="s">
        <v>14</v>
      </c>
      <c r="I57" s="33" t="s">
        <v>6</v>
      </c>
      <c r="J57" s="39" t="s">
        <v>231</v>
      </c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21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</row>
    <row r="58" ht="30.0" customHeight="1">
      <c r="A58" s="1"/>
      <c r="B58" s="28" t="s">
        <v>149</v>
      </c>
      <c r="C58" s="29" t="s">
        <v>232</v>
      </c>
      <c r="D58" s="29" t="s">
        <v>233</v>
      </c>
      <c r="E58" s="30" t="s">
        <v>234</v>
      </c>
      <c r="F58" s="31">
        <v>46224.0</v>
      </c>
      <c r="G58" s="31">
        <v>46225.0</v>
      </c>
      <c r="H58" s="49" t="s">
        <v>16</v>
      </c>
      <c r="I58" s="33" t="s">
        <v>6</v>
      </c>
      <c r="J58" s="29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22"/>
      <c r="AH58" s="22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</row>
    <row r="59" ht="30.0" customHeight="1">
      <c r="A59" s="1"/>
      <c r="B59" s="51" t="s">
        <v>96</v>
      </c>
      <c r="C59" s="44" t="s">
        <v>235</v>
      </c>
      <c r="D59" s="39" t="s">
        <v>236</v>
      </c>
      <c r="E59" s="45" t="s">
        <v>237</v>
      </c>
      <c r="F59" s="41">
        <v>46224.0</v>
      </c>
      <c r="G59" s="41">
        <v>46231.0</v>
      </c>
      <c r="H59" s="33" t="s">
        <v>13</v>
      </c>
      <c r="I59" s="33" t="s">
        <v>6</v>
      </c>
      <c r="J59" s="39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20"/>
      <c r="AH59" s="20"/>
      <c r="AI59" s="20"/>
      <c r="AJ59" s="20"/>
      <c r="AK59" s="20"/>
      <c r="AL59" s="20"/>
      <c r="AM59" s="20"/>
      <c r="AN59" s="20"/>
      <c r="AO59" s="35"/>
      <c r="AP59" s="35"/>
      <c r="AQ59" s="35"/>
      <c r="AR59" s="35"/>
      <c r="AS59" s="35"/>
      <c r="AT59" s="35"/>
      <c r="AU59" s="35"/>
      <c r="AV59" s="35"/>
    </row>
    <row r="60" ht="30.0" customHeight="1">
      <c r="A60" s="1"/>
      <c r="B60" s="38" t="s">
        <v>179</v>
      </c>
      <c r="C60" s="39" t="s">
        <v>238</v>
      </c>
      <c r="D60" s="39" t="s">
        <v>239</v>
      </c>
      <c r="E60" s="40" t="s">
        <v>240</v>
      </c>
      <c r="F60" s="41">
        <v>46224.0</v>
      </c>
      <c r="G60" s="41">
        <v>46224.0</v>
      </c>
      <c r="H60" s="48" t="s">
        <v>14</v>
      </c>
      <c r="I60" s="33" t="s">
        <v>6</v>
      </c>
      <c r="J60" s="39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21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</row>
    <row r="61" ht="30.0" customHeight="1">
      <c r="A61" s="1"/>
      <c r="B61" s="38" t="s">
        <v>224</v>
      </c>
      <c r="C61" s="39" t="s">
        <v>241</v>
      </c>
      <c r="D61" s="39" t="s">
        <v>242</v>
      </c>
      <c r="E61" s="40" t="s">
        <v>243</v>
      </c>
      <c r="F61" s="41">
        <v>46224.0</v>
      </c>
      <c r="G61" s="41">
        <v>46224.0</v>
      </c>
      <c r="H61" s="48" t="s">
        <v>14</v>
      </c>
      <c r="I61" s="33" t="s">
        <v>6</v>
      </c>
      <c r="J61" s="39" t="s">
        <v>244</v>
      </c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21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</row>
    <row r="62" ht="30.0" customHeight="1">
      <c r="A62" s="1"/>
      <c r="B62" s="28" t="s">
        <v>131</v>
      </c>
      <c r="C62" s="47" t="s">
        <v>245</v>
      </c>
      <c r="D62" s="47" t="s">
        <v>246</v>
      </c>
      <c r="E62" s="30" t="s">
        <v>247</v>
      </c>
      <c r="F62" s="31">
        <v>46225.0</v>
      </c>
      <c r="G62" s="31">
        <v>46230.0</v>
      </c>
      <c r="H62" s="43" t="s">
        <v>12</v>
      </c>
      <c r="I62" s="33" t="s">
        <v>6</v>
      </c>
      <c r="J62" s="29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18"/>
      <c r="AI62" s="18"/>
      <c r="AJ62" s="18"/>
      <c r="AK62" s="18"/>
      <c r="AL62" s="18"/>
      <c r="AM62" s="18"/>
      <c r="AN62" s="35"/>
      <c r="AO62" s="35"/>
      <c r="AP62" s="35"/>
      <c r="AQ62" s="35"/>
      <c r="AR62" s="35"/>
      <c r="AS62" s="35"/>
      <c r="AT62" s="35"/>
      <c r="AU62" s="35"/>
      <c r="AV62" s="35"/>
    </row>
    <row r="63" ht="30.0" customHeight="1">
      <c r="A63" s="1"/>
      <c r="B63" s="38" t="s">
        <v>100</v>
      </c>
      <c r="C63" s="39" t="s">
        <v>248</v>
      </c>
      <c r="D63" s="39" t="s">
        <v>249</v>
      </c>
      <c r="E63" s="40" t="s">
        <v>250</v>
      </c>
      <c r="F63" s="41">
        <v>46225.0</v>
      </c>
      <c r="G63" s="41">
        <v>46229.0</v>
      </c>
      <c r="H63" s="48" t="s">
        <v>14</v>
      </c>
      <c r="I63" s="33" t="s">
        <v>6</v>
      </c>
      <c r="J63" s="39" t="s">
        <v>251</v>
      </c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21"/>
      <c r="AI63" s="21"/>
      <c r="AJ63" s="21"/>
      <c r="AK63" s="21"/>
      <c r="AL63" s="21"/>
      <c r="AM63" s="35"/>
      <c r="AN63" s="35"/>
      <c r="AO63" s="35"/>
      <c r="AP63" s="35"/>
      <c r="AQ63" s="35"/>
      <c r="AR63" s="35"/>
      <c r="AS63" s="35"/>
      <c r="AT63" s="35"/>
      <c r="AU63" s="35"/>
      <c r="AV63" s="35"/>
    </row>
    <row r="64" ht="30.0" customHeight="1">
      <c r="A64" s="1"/>
      <c r="B64" s="38" t="s">
        <v>149</v>
      </c>
      <c r="C64" s="39" t="s">
        <v>206</v>
      </c>
      <c r="D64" s="39" t="s">
        <v>252</v>
      </c>
      <c r="E64" s="40" t="s">
        <v>253</v>
      </c>
      <c r="F64" s="41">
        <v>46225.0</v>
      </c>
      <c r="G64" s="41">
        <v>46225.0</v>
      </c>
      <c r="H64" s="48" t="s">
        <v>14</v>
      </c>
      <c r="I64" s="33" t="s">
        <v>6</v>
      </c>
      <c r="J64" s="39" t="s">
        <v>254</v>
      </c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21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</row>
    <row r="65" ht="30.0" customHeight="1">
      <c r="A65" s="1"/>
      <c r="B65" s="38" t="s">
        <v>179</v>
      </c>
      <c r="C65" s="39" t="s">
        <v>255</v>
      </c>
      <c r="D65" s="39" t="s">
        <v>256</v>
      </c>
      <c r="E65" s="40" t="s">
        <v>257</v>
      </c>
      <c r="F65" s="41">
        <v>46225.0</v>
      </c>
      <c r="G65" s="41">
        <v>46225.0</v>
      </c>
      <c r="H65" s="48" t="s">
        <v>14</v>
      </c>
      <c r="I65" s="33" t="s">
        <v>6</v>
      </c>
      <c r="J65" s="39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21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</row>
    <row r="66" ht="30.0" customHeight="1">
      <c r="A66" s="1"/>
      <c r="B66" s="38" t="s">
        <v>258</v>
      </c>
      <c r="C66" s="39" t="s">
        <v>258</v>
      </c>
      <c r="D66" s="39" t="s">
        <v>259</v>
      </c>
      <c r="E66" s="40" t="s">
        <v>260</v>
      </c>
      <c r="F66" s="41">
        <v>46226.0</v>
      </c>
      <c r="G66" s="41">
        <v>46226.0</v>
      </c>
      <c r="H66" s="49" t="s">
        <v>16</v>
      </c>
      <c r="I66" s="33" t="s">
        <v>6</v>
      </c>
      <c r="J66" s="39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22"/>
      <c r="AI66" s="22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</row>
    <row r="67" ht="30.0" customHeight="1">
      <c r="A67" s="1"/>
      <c r="B67" s="28" t="s">
        <v>131</v>
      </c>
      <c r="C67" s="47" t="s">
        <v>261</v>
      </c>
      <c r="D67" s="29" t="s">
        <v>262</v>
      </c>
      <c r="E67" s="30" t="s">
        <v>263</v>
      </c>
      <c r="F67" s="31">
        <v>46226.0</v>
      </c>
      <c r="G67" s="31">
        <v>46230.0</v>
      </c>
      <c r="H67" s="43" t="s">
        <v>12</v>
      </c>
      <c r="I67" s="33" t="s">
        <v>6</v>
      </c>
      <c r="J67" s="29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18"/>
      <c r="AJ67" s="18"/>
      <c r="AK67" s="18"/>
      <c r="AL67" s="18"/>
      <c r="AM67" s="18"/>
      <c r="AN67" s="35"/>
      <c r="AO67" s="35"/>
      <c r="AP67" s="35"/>
      <c r="AQ67" s="35"/>
      <c r="AR67" s="35"/>
      <c r="AS67" s="35"/>
      <c r="AT67" s="35"/>
      <c r="AU67" s="35"/>
      <c r="AV67" s="35"/>
    </row>
    <row r="68" ht="30.0" customHeight="1">
      <c r="A68" s="1"/>
      <c r="B68" s="38" t="s">
        <v>149</v>
      </c>
      <c r="C68" s="39" t="s">
        <v>264</v>
      </c>
      <c r="D68" s="39" t="s">
        <v>265</v>
      </c>
      <c r="E68" s="40" t="s">
        <v>266</v>
      </c>
      <c r="F68" s="41">
        <v>46226.0</v>
      </c>
      <c r="G68" s="41">
        <v>46226.0</v>
      </c>
      <c r="H68" s="48" t="s">
        <v>14</v>
      </c>
      <c r="I68" s="33" t="s">
        <v>6</v>
      </c>
      <c r="J68" s="39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21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</row>
    <row r="69" ht="30.0" customHeight="1">
      <c r="A69" s="1"/>
      <c r="B69" s="38" t="s">
        <v>224</v>
      </c>
      <c r="C69" s="39" t="s">
        <v>267</v>
      </c>
      <c r="D69" s="39" t="s">
        <v>268</v>
      </c>
      <c r="E69" s="40" t="s">
        <v>269</v>
      </c>
      <c r="F69" s="41">
        <v>46226.0</v>
      </c>
      <c r="G69" s="41">
        <v>46226.0</v>
      </c>
      <c r="H69" s="48" t="s">
        <v>14</v>
      </c>
      <c r="I69" s="33" t="s">
        <v>6</v>
      </c>
      <c r="J69" s="39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21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</row>
    <row r="70" ht="30.0" customHeight="1">
      <c r="A70" s="1"/>
      <c r="B70" s="38" t="s">
        <v>113</v>
      </c>
      <c r="C70" s="39" t="s">
        <v>270</v>
      </c>
      <c r="D70" s="39" t="s">
        <v>271</v>
      </c>
      <c r="E70" s="40" t="s">
        <v>272</v>
      </c>
      <c r="F70" s="41">
        <v>46230.0</v>
      </c>
      <c r="G70" s="41">
        <v>46230.0</v>
      </c>
      <c r="H70" s="49" t="s">
        <v>16</v>
      </c>
      <c r="I70" s="33" t="s">
        <v>6</v>
      </c>
      <c r="J70" s="52" t="s">
        <v>273</v>
      </c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22"/>
      <c r="AN70" s="35"/>
      <c r="AO70" s="35"/>
      <c r="AP70" s="35"/>
      <c r="AQ70" s="35"/>
      <c r="AR70" s="35"/>
      <c r="AS70" s="35"/>
      <c r="AT70" s="35"/>
      <c r="AU70" s="35"/>
      <c r="AV70" s="35"/>
    </row>
    <row r="71" ht="15.75" customHeight="1">
      <c r="A71" s="1"/>
      <c r="B71" s="28" t="s">
        <v>105</v>
      </c>
      <c r="C71" s="29" t="s">
        <v>274</v>
      </c>
      <c r="D71" s="29" t="s">
        <v>275</v>
      </c>
      <c r="E71" s="42" t="s">
        <v>276</v>
      </c>
      <c r="F71" s="31">
        <v>46230.0</v>
      </c>
      <c r="G71" s="31">
        <v>46230.0</v>
      </c>
      <c r="H71" s="43" t="s">
        <v>12</v>
      </c>
      <c r="I71" s="33" t="s">
        <v>6</v>
      </c>
      <c r="J71" s="29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18"/>
      <c r="AN71" s="35"/>
      <c r="AO71" s="35"/>
      <c r="AP71" s="35"/>
      <c r="AQ71" s="35"/>
      <c r="AR71" s="35"/>
      <c r="AS71" s="35"/>
      <c r="AT71" s="35"/>
      <c r="AU71" s="35"/>
      <c r="AV71" s="35"/>
    </row>
    <row r="72" ht="15.75" customHeight="1">
      <c r="A72" s="1"/>
      <c r="B72" s="38" t="s">
        <v>100</v>
      </c>
      <c r="C72" s="39" t="s">
        <v>277</v>
      </c>
      <c r="D72" s="39" t="s">
        <v>278</v>
      </c>
      <c r="E72" s="40" t="s">
        <v>279</v>
      </c>
      <c r="F72" s="41">
        <v>46230.0</v>
      </c>
      <c r="G72" s="41">
        <v>46230.0</v>
      </c>
      <c r="H72" s="48" t="s">
        <v>14</v>
      </c>
      <c r="I72" s="33" t="s">
        <v>6</v>
      </c>
      <c r="J72" s="39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21"/>
      <c r="AN72" s="35"/>
      <c r="AO72" s="35"/>
      <c r="AP72" s="35"/>
      <c r="AQ72" s="35"/>
      <c r="AR72" s="35"/>
      <c r="AS72" s="35"/>
      <c r="AT72" s="35"/>
      <c r="AU72" s="35"/>
      <c r="AV72" s="35"/>
    </row>
    <row r="73" ht="15.75" customHeight="1">
      <c r="A73" s="1"/>
      <c r="B73" s="38" t="s">
        <v>224</v>
      </c>
      <c r="C73" s="39" t="s">
        <v>280</v>
      </c>
      <c r="D73" s="39" t="s">
        <v>281</v>
      </c>
      <c r="E73" s="40" t="s">
        <v>282</v>
      </c>
      <c r="F73" s="41">
        <v>46230.0</v>
      </c>
      <c r="G73" s="41">
        <v>46230.0</v>
      </c>
      <c r="H73" s="48" t="s">
        <v>14</v>
      </c>
      <c r="I73" s="33" t="s">
        <v>6</v>
      </c>
      <c r="J73" s="39" t="s">
        <v>283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21"/>
      <c r="AN73" s="35"/>
      <c r="AO73" s="35"/>
      <c r="AP73" s="35"/>
      <c r="AQ73" s="35"/>
      <c r="AR73" s="35"/>
      <c r="AS73" s="35"/>
      <c r="AT73" s="35"/>
      <c r="AU73" s="35"/>
      <c r="AV73" s="35"/>
    </row>
    <row r="74" ht="15.75" customHeight="1">
      <c r="A74" s="1"/>
      <c r="B74" s="38" t="s">
        <v>100</v>
      </c>
      <c r="C74" s="39" t="s">
        <v>284</v>
      </c>
      <c r="D74" s="39" t="s">
        <v>285</v>
      </c>
      <c r="E74" s="40" t="s">
        <v>286</v>
      </c>
      <c r="F74" s="41">
        <v>46231.0</v>
      </c>
      <c r="G74" s="41">
        <v>46231.0</v>
      </c>
      <c r="H74" s="48" t="s">
        <v>14</v>
      </c>
      <c r="I74" s="33" t="s">
        <v>6</v>
      </c>
      <c r="J74" s="39" t="s">
        <v>287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21"/>
      <c r="AO74" s="35"/>
      <c r="AP74" s="35"/>
      <c r="AQ74" s="35"/>
      <c r="AR74" s="35"/>
      <c r="AS74" s="35"/>
      <c r="AT74" s="35"/>
      <c r="AU74" s="35"/>
      <c r="AV74" s="35"/>
    </row>
    <row r="75" ht="15.75" customHeight="1">
      <c r="A75" s="1"/>
      <c r="B75" s="38" t="s">
        <v>149</v>
      </c>
      <c r="C75" s="39" t="s">
        <v>264</v>
      </c>
      <c r="D75" s="39" t="s">
        <v>288</v>
      </c>
      <c r="E75" s="40" t="s">
        <v>289</v>
      </c>
      <c r="F75" s="41">
        <v>46231.0</v>
      </c>
      <c r="G75" s="41">
        <v>46231.0</v>
      </c>
      <c r="H75" s="48" t="s">
        <v>14</v>
      </c>
      <c r="I75" s="33" t="s">
        <v>6</v>
      </c>
      <c r="J75" s="39" t="s">
        <v>290</v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21"/>
      <c r="AO75" s="35"/>
      <c r="AP75" s="35"/>
      <c r="AQ75" s="35"/>
      <c r="AR75" s="35"/>
      <c r="AS75" s="35"/>
      <c r="AT75" s="35"/>
      <c r="AU75" s="35"/>
      <c r="AV75" s="35"/>
    </row>
    <row r="76" ht="15.75" customHeight="1">
      <c r="A76" s="1"/>
      <c r="B76" s="38" t="s">
        <v>224</v>
      </c>
      <c r="C76" s="39" t="s">
        <v>291</v>
      </c>
      <c r="D76" s="39" t="s">
        <v>292</v>
      </c>
      <c r="E76" s="40" t="s">
        <v>293</v>
      </c>
      <c r="F76" s="41">
        <v>46231.0</v>
      </c>
      <c r="G76" s="41">
        <v>46231.0</v>
      </c>
      <c r="H76" s="48" t="s">
        <v>14</v>
      </c>
      <c r="I76" s="33" t="s">
        <v>6</v>
      </c>
      <c r="J76" s="39" t="s">
        <v>294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21"/>
      <c r="AO76" s="35"/>
      <c r="AP76" s="35"/>
      <c r="AQ76" s="35"/>
      <c r="AR76" s="35"/>
      <c r="AS76" s="35"/>
      <c r="AT76" s="35"/>
      <c r="AU76" s="35"/>
      <c r="AV76" s="35"/>
    </row>
    <row r="77" ht="15.75" customHeight="1">
      <c r="A77" s="1"/>
      <c r="B77" s="28" t="s">
        <v>100</v>
      </c>
      <c r="C77" s="29" t="s">
        <v>295</v>
      </c>
      <c r="D77" s="29" t="s">
        <v>296</v>
      </c>
      <c r="E77" s="42" t="s">
        <v>297</v>
      </c>
      <c r="F77" s="31">
        <v>46231.0</v>
      </c>
      <c r="G77" s="31"/>
      <c r="H77" s="48" t="s">
        <v>14</v>
      </c>
      <c r="I77" s="53" t="s">
        <v>8</v>
      </c>
      <c r="J77" s="29" t="s">
        <v>298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21"/>
      <c r="AO77" s="21"/>
      <c r="AP77" s="21"/>
      <c r="AQ77" s="21"/>
      <c r="AR77" s="35"/>
      <c r="AS77" s="35"/>
      <c r="AT77" s="35"/>
      <c r="AU77" s="35"/>
      <c r="AV77" s="35"/>
    </row>
    <row r="78" ht="15.75" customHeight="1">
      <c r="A78" s="1"/>
      <c r="B78" s="51" t="s">
        <v>179</v>
      </c>
      <c r="C78" s="44" t="s">
        <v>179</v>
      </c>
      <c r="D78" s="44" t="s">
        <v>299</v>
      </c>
      <c r="E78" s="40" t="s">
        <v>300</v>
      </c>
      <c r="F78" s="41">
        <v>46232.0</v>
      </c>
      <c r="G78" s="41"/>
      <c r="H78" s="48" t="s">
        <v>14</v>
      </c>
      <c r="I78" s="53" t="s">
        <v>8</v>
      </c>
      <c r="J78" s="39" t="s">
        <v>298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21"/>
      <c r="AP78" s="21"/>
      <c r="AQ78" s="21"/>
      <c r="AR78" s="21"/>
      <c r="AS78" s="21"/>
      <c r="AT78" s="21"/>
      <c r="AU78" s="21"/>
      <c r="AV78" s="21"/>
    </row>
    <row r="79" ht="15.75" customHeight="1">
      <c r="A79" s="1"/>
      <c r="B79" s="28" t="s">
        <v>224</v>
      </c>
      <c r="C79" s="29" t="s">
        <v>301</v>
      </c>
      <c r="D79" s="29" t="s">
        <v>302</v>
      </c>
      <c r="E79" s="42" t="s">
        <v>303</v>
      </c>
      <c r="F79" s="31">
        <v>46232.0</v>
      </c>
      <c r="G79" s="31"/>
      <c r="H79" s="48" t="s">
        <v>14</v>
      </c>
      <c r="I79" s="53" t="s">
        <v>8</v>
      </c>
      <c r="J79" s="29" t="s">
        <v>298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21"/>
      <c r="AP79" s="21"/>
      <c r="AQ79" s="21"/>
      <c r="AR79" s="21"/>
      <c r="AS79" s="21"/>
      <c r="AT79" s="21"/>
      <c r="AU79" s="21"/>
      <c r="AV79" s="21"/>
    </row>
    <row r="80" ht="15.75" customHeight="1">
      <c r="A80" s="1"/>
      <c r="B80" s="38" t="s">
        <v>304</v>
      </c>
      <c r="C80" s="39" t="s">
        <v>305</v>
      </c>
      <c r="D80" s="39" t="s">
        <v>306</v>
      </c>
      <c r="E80" s="45" t="s">
        <v>307</v>
      </c>
      <c r="F80" s="41">
        <v>46232.0</v>
      </c>
      <c r="G80" s="41">
        <v>46239.0</v>
      </c>
      <c r="H80" s="43" t="s">
        <v>12</v>
      </c>
      <c r="I80" s="53" t="s">
        <v>8</v>
      </c>
      <c r="J80" s="39" t="s">
        <v>298</v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18"/>
      <c r="AP80" s="18"/>
      <c r="AQ80" s="18"/>
      <c r="AR80" s="18"/>
      <c r="AS80" s="18"/>
      <c r="AT80" s="18"/>
      <c r="AU80" s="18"/>
      <c r="AV80" s="18"/>
    </row>
    <row r="81" ht="15.75" customHeight="1">
      <c r="A81" s="1"/>
      <c r="B81" s="54" t="s">
        <v>308</v>
      </c>
      <c r="C81" s="52" t="s">
        <v>309</v>
      </c>
      <c r="D81" s="52" t="s">
        <v>310</v>
      </c>
      <c r="E81" s="55" t="s">
        <v>311</v>
      </c>
      <c r="F81" s="41">
        <v>46232.0</v>
      </c>
      <c r="G81" s="41"/>
      <c r="H81" s="56" t="s">
        <v>16</v>
      </c>
      <c r="I81" s="53" t="s">
        <v>8</v>
      </c>
      <c r="J81" s="39" t="s">
        <v>298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18"/>
      <c r="AP81" s="18"/>
      <c r="AQ81" s="18"/>
      <c r="AR81" s="18"/>
      <c r="AS81" s="18"/>
      <c r="AT81" s="18"/>
      <c r="AU81" s="18"/>
      <c r="AV81" s="18"/>
    </row>
    <row r="82" ht="15.75" customHeight="1">
      <c r="A82" s="1"/>
      <c r="B82" s="54" t="s">
        <v>308</v>
      </c>
      <c r="C82" s="52" t="s">
        <v>312</v>
      </c>
      <c r="D82" s="52" t="s">
        <v>313</v>
      </c>
      <c r="E82" s="55" t="s">
        <v>314</v>
      </c>
      <c r="F82" s="41">
        <v>46232.0</v>
      </c>
      <c r="G82" s="41"/>
      <c r="H82" s="56" t="s">
        <v>16</v>
      </c>
      <c r="I82" s="53" t="s">
        <v>8</v>
      </c>
      <c r="J82" s="39" t="s">
        <v>298</v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18"/>
      <c r="AP82" s="18"/>
      <c r="AQ82" s="18"/>
      <c r="AR82" s="18"/>
      <c r="AS82" s="18"/>
      <c r="AT82" s="18"/>
      <c r="AU82" s="18"/>
      <c r="AV82" s="18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</sheetData>
  <dataValidations>
    <dataValidation type="list" allowBlank="1" sqref="H7:H70">
      <formula1>"송태현,조종현,구영주,김현서,이유빈"</formula1>
    </dataValidation>
    <dataValidation type="list" allowBlank="1" sqref="I7:I70">
      <formula1>"완료,진행 중,대기,보류"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26.0"/>
    <col customWidth="1" min="4" max="5" width="9.0"/>
    <col customWidth="1" min="6" max="6" width="10.0"/>
    <col customWidth="1" min="7" max="7" width="9.0"/>
    <col customWidth="1" min="8" max="8" width="10.0"/>
  </cols>
  <sheetData>
    <row r="1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3" t="s">
        <v>0</v>
      </c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5" t="s">
        <v>2</v>
      </c>
      <c r="C4" s="6" t="s">
        <v>3</v>
      </c>
      <c r="D4" s="5" t="s">
        <v>4</v>
      </c>
      <c r="E4" s="5" t="s">
        <v>6</v>
      </c>
      <c r="F4" s="5" t="s">
        <v>7</v>
      </c>
      <c r="G4" s="5" t="s">
        <v>8</v>
      </c>
      <c r="H4" s="5" t="s">
        <v>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0" t="s">
        <v>12</v>
      </c>
      <c r="C5" s="12" t="s">
        <v>15</v>
      </c>
      <c r="D5" s="14">
        <f>COUNTIF('개발 일정표'!$H$7:$H$80,$B5)</f>
        <v>17</v>
      </c>
      <c r="E5" s="14">
        <f>COUNTIFS('개발 일정표'!$H$7:$H$80,$B5,'개발 일정표'!$I$7:$I$80,"완료")</f>
        <v>16</v>
      </c>
      <c r="F5" s="14">
        <f>COUNTIFS('개발 일정표'!$H$7:$H$80,$B5,'개발 일정표'!$I$7:$I$80,"진행 중")</f>
        <v>0</v>
      </c>
      <c r="G5" s="14">
        <f>COUNTIFS('개발 일정표'!$H$7:$H$80,$B5,'개발 일정표'!$I$7:$I$80,"대기")</f>
        <v>1</v>
      </c>
      <c r="H5" s="17">
        <f t="shared" ref="H5:H9" si="1">IF(D5=0,0,E5/D5)</f>
        <v>0.9411764706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9" t="s">
        <v>13</v>
      </c>
      <c r="C6" s="12" t="s">
        <v>17</v>
      </c>
      <c r="D6" s="14">
        <f>COUNTIF('개발 일정표'!$H$7:$H$80,$B6)</f>
        <v>14</v>
      </c>
      <c r="E6" s="14">
        <f>COUNTIFS('개발 일정표'!$H$7:$H$80,$B6,'개발 일정표'!$I$7:$I$80,"완료")</f>
        <v>14</v>
      </c>
      <c r="F6" s="14">
        <f>COUNTIFS('개발 일정표'!$H$7:$H$80,$B6,'개발 일정표'!$I$7:$I$80,"진행 중")</f>
        <v>0</v>
      </c>
      <c r="G6" s="14">
        <f>COUNTIFS('개발 일정표'!$H$7:$H$80,$B6,'개발 일정표'!$I$7:$I$80,"대기")</f>
        <v>0</v>
      </c>
      <c r="H6" s="17">
        <f t="shared" si="1"/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4" t="s">
        <v>14</v>
      </c>
      <c r="C7" s="12" t="s">
        <v>26</v>
      </c>
      <c r="D7" s="14">
        <f>COUNTIF('개발 일정표'!$H$7:$H$80,$B7)</f>
        <v>33</v>
      </c>
      <c r="E7" s="14">
        <f>COUNTIFS('개발 일정표'!$H$7:$H$80,$B7,'개발 일정표'!$I$7:$I$80,"완료")</f>
        <v>30</v>
      </c>
      <c r="F7" s="14">
        <f>COUNTIFS('개발 일정표'!$H$7:$H$80,$B7,'개발 일정표'!$I$7:$I$80,"진행 중")</f>
        <v>0</v>
      </c>
      <c r="G7" s="14">
        <f>COUNTIFS('개발 일정표'!$H$7:$H$80,$B7,'개발 일정표'!$I$7:$I$80,"대기")</f>
        <v>3</v>
      </c>
      <c r="H7" s="17">
        <f t="shared" si="1"/>
        <v>0.9090909091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7" t="s">
        <v>16</v>
      </c>
      <c r="C8" s="12" t="s">
        <v>50</v>
      </c>
      <c r="D8" s="14">
        <f>COUNTIF('개발 일정표'!$H$7:$H$80,$B8)</f>
        <v>10</v>
      </c>
      <c r="E8" s="14">
        <f>COUNTIFS('개발 일정표'!$H$7:$H$80,$B8,'개발 일정표'!$I$7:$I$80,"완료")</f>
        <v>10</v>
      </c>
      <c r="F8" s="14">
        <f>COUNTIFS('개발 일정표'!$H$7:$H$80,$B8,'개발 일정표'!$I$7:$I$80,"진행 중")</f>
        <v>0</v>
      </c>
      <c r="G8" s="14">
        <f>COUNTIFS('개발 일정표'!$H$7:$H$80,$B8,'개발 일정표'!$I$7:$I$80,"대기")</f>
        <v>0</v>
      </c>
      <c r="H8" s="17">
        <f t="shared" si="1"/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2" t="s">
        <v>70</v>
      </c>
      <c r="C9" s="34"/>
      <c r="D9" s="32">
        <f t="shared" ref="D9:G9" si="2">SUM(D5:D8)</f>
        <v>74</v>
      </c>
      <c r="E9" s="32">
        <f t="shared" si="2"/>
        <v>70</v>
      </c>
      <c r="F9" s="32">
        <f t="shared" si="2"/>
        <v>0</v>
      </c>
      <c r="G9" s="32">
        <f t="shared" si="2"/>
        <v>4</v>
      </c>
      <c r="H9" s="36">
        <f t="shared" si="1"/>
        <v>0.9459459459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2"/>
      <c r="C10" s="2"/>
      <c r="D10" s="2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7" t="s">
        <v>71</v>
      </c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2"/>
      <c r="C12" s="2"/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2"/>
      <c r="D13" s="2"/>
      <c r="E13" s="2"/>
      <c r="F13" s="2"/>
      <c r="G13" s="2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2"/>
      <c r="D14" s="2"/>
      <c r="E14" s="2"/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/>
      <c r="C17" s="2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"/>
      <c r="C18" s="2"/>
      <c r="D18" s="2"/>
      <c r="E18" s="2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"/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2026-07-30T01:06:07Z</dcterms:created>
  <dc:creator>openpyxl</dc:creator>
</cp:coreProperties>
</file>